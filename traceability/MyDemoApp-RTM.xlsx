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RTM" sheetId="2" state="visible" r:id="rId2"/>
    <sheet xmlns:r="http://schemas.openxmlformats.org/officeDocument/2006/relationships" name="Coverage Summary" sheetId="3" state="visible" r:id="rId3"/>
  </sheets>
  <definedNames>
    <definedName name="_xlnm._FilterDatabase" localSheetId="1" hidden="1">'RTM'!$A$1:$M$33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1F3864"/>
      <sz val="14"/>
    </font>
    <font>
      <name val="Arial"/>
      <sz val="10"/>
    </font>
    <font>
      <name val="Arial"/>
      <b val="1"/>
      <sz val="10"/>
    </font>
    <font>
      <name val="Arial"/>
      <b val="1"/>
      <color rgb="00FFFFFF"/>
      <sz val="10"/>
    </font>
    <font>
      <name val="Arial"/>
      <i val="1"/>
      <sz val="9"/>
    </font>
  </fonts>
  <fills count="5">
    <fill>
      <patternFill/>
    </fill>
    <fill>
      <patternFill patternType="gray125"/>
    </fill>
    <fill>
      <patternFill patternType="solid">
        <fgColor rgb="001F3864"/>
      </patternFill>
    </fill>
    <fill>
      <patternFill patternType="solid">
        <fgColor rgb="00FFF2CC"/>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vertical="top" wrapText="1"/>
    </xf>
    <xf numFmtId="0" fontId="5" fillId="0" borderId="0" pivotButton="0" quotePrefix="0" xfId="0"/>
    <xf numFmtId="1" fontId="3" fillId="4" borderId="1" applyAlignment="1" pivotButton="0" quotePrefix="0" xfId="0">
      <alignment horizontal="center" vertical="center" wrapText="1"/>
    </xf>
    <xf numFmtId="164" fontId="3"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3"/>
  <sheetViews>
    <sheetView showGridLines="0" workbookViewId="0">
      <selection activeCell="A1" sqref="A1"/>
    </sheetView>
  </sheetViews>
  <sheetFormatPr baseColWidth="8" defaultRowHeight="15"/>
  <cols>
    <col width="3" customWidth="1" min="1" max="1"/>
    <col width="30" customWidth="1" min="2" max="2"/>
    <col width="110" customWidth="1" min="3" max="3"/>
  </cols>
  <sheetData>
    <row r="2">
      <c r="B2" s="1" t="inlineStr">
        <is>
          <t>Requirements Traceability Matrix</t>
        </is>
      </c>
    </row>
    <row r="3">
      <c r="B3" s="2" t="inlineStr"/>
      <c r="C3" s="3" t="inlineStr"/>
    </row>
    <row r="4">
      <c r="B4" s="4" t="inlineStr">
        <is>
          <t>What an RTM answers</t>
        </is>
      </c>
      <c r="C4" s="3" t="inlineStr">
        <is>
          <t>Two questions a release meeting always asks: is every requirement covered by at least one test, and which requirements currently have open defects against them?</t>
        </is>
      </c>
    </row>
    <row r="5">
      <c r="B5" s="4" t="inlineStr">
        <is>
          <t>Forward traceability</t>
        </is>
      </c>
      <c r="C5" s="3" t="inlineStr">
        <is>
          <t>Requirement -&gt; test cases. Proves nothing was left untested.</t>
        </is>
      </c>
    </row>
    <row r="6">
      <c r="B6" s="4" t="inlineStr">
        <is>
          <t>Backward traceability</t>
        </is>
      </c>
      <c r="C6" s="3" t="inlineStr">
        <is>
          <t>Test case -&gt; requirement. Proves no test exists without a reason, which is how suites stop bloating.</t>
        </is>
      </c>
    </row>
    <row r="7">
      <c r="B7" s="2" t="inlineStr"/>
      <c r="C7" s="3" t="inlineStr"/>
    </row>
    <row r="8">
      <c r="B8" s="4" t="inlineStr">
        <is>
          <t>Source of the requirements</t>
        </is>
      </c>
      <c r="C8" s="3" t="inlineStr">
        <is>
          <t>This project has no access to internal requirements. Each risk in the register below was derived by the tester from observable app behaviour, the app's own published source strings, and standard e-commerce and Android platform conventions. They are inferred, not authoritative, and that distinction is stated deliberately.</t>
        </is>
      </c>
    </row>
    <row r="9">
      <c r="B9" s="2" t="inlineStr"/>
      <c r="C9" s="3" t="inlineStr"/>
    </row>
    <row r="10">
      <c r="B10" s="4" t="inlineStr">
        <is>
          <t>Fill in</t>
        </is>
      </c>
      <c r="C10" s="3" t="inlineStr">
        <is>
          <t>The yellow columns only: Result, Defect IDs, Coverage Status, Comments.</t>
        </is>
      </c>
    </row>
    <row r="11">
      <c r="B11" s="4" t="inlineStr">
        <is>
          <t>Risk score</t>
        </is>
      </c>
      <c r="C11" s="3" t="inlineStr">
        <is>
          <t>Impact x Likelihood, each 1 to 5. This score is what drives the P1/P2/P3 priority on each test case.</t>
        </is>
      </c>
    </row>
    <row r="12">
      <c r="B12" s="2" t="inlineStr"/>
      <c r="C12" s="3" t="inlineStr"/>
    </row>
    <row r="13">
      <c r="B13" s="4" t="inlineStr">
        <is>
          <t>EXAMPLE ROW</t>
        </is>
      </c>
      <c r="C13" s="3" t="inlineStr">
        <is>
          <t>R-21 | Result: Fail | Defect IDs: BUG-004 | Coverage Status: Covered | Comments: 'Order total off by one cent, reproduced 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62" customWidth="1" min="2" max="2"/>
    <col width="22" customWidth="1" min="3" max="3"/>
    <col width="8" customWidth="1" min="4" max="4"/>
    <col width="11" customWidth="1" min="5" max="5"/>
    <col width="8" customWidth="1" min="6" max="6"/>
    <col width="13" customWidth="1" min="7" max="7"/>
    <col width="52" customWidth="1" min="8" max="8"/>
    <col width="12" customWidth="1" min="9" max="9"/>
    <col width="12" customWidth="1" min="10" max="10"/>
    <col width="14" customWidth="1" min="11" max="11"/>
    <col width="17" customWidth="1" min="12" max="12"/>
    <col width="30" customWidth="1" min="13" max="13"/>
  </cols>
  <sheetData>
    <row r="1" ht="30" customHeight="1">
      <c r="A1" s="5" t="inlineStr">
        <is>
          <t>Risk ID</t>
        </is>
      </c>
      <c r="B1" s="5" t="inlineStr">
        <is>
          <t>Risk / inferred requirement</t>
        </is>
      </c>
      <c r="C1" s="5" t="inlineStr">
        <is>
          <t>Primary module</t>
        </is>
      </c>
      <c r="D1" s="5" t="inlineStr">
        <is>
          <t>Impact</t>
        </is>
      </c>
      <c r="E1" s="5" t="inlineStr">
        <is>
          <t>Likelihood</t>
        </is>
      </c>
      <c r="F1" s="5" t="inlineStr">
        <is>
          <t>Score</t>
        </is>
      </c>
      <c r="G1" s="5" t="inlineStr">
        <is>
          <t>Priority band</t>
        </is>
      </c>
      <c r="H1" s="5" t="inlineStr">
        <is>
          <t>Test Case IDs</t>
        </is>
      </c>
      <c r="I1" s="5" t="inlineStr">
        <is>
          <t>No. of Cases</t>
        </is>
      </c>
      <c r="J1" s="5" t="inlineStr">
        <is>
          <t>Result</t>
        </is>
      </c>
      <c r="K1" s="5" t="inlineStr">
        <is>
          <t>Defect IDs</t>
        </is>
      </c>
      <c r="L1" s="5" t="inlineStr">
        <is>
          <t>Coverage Status</t>
        </is>
      </c>
      <c r="M1" s="5" t="inlineStr">
        <is>
          <t>Comments</t>
        </is>
      </c>
    </row>
    <row r="2" ht="34" customHeight="1">
      <c r="A2" s="6" t="inlineStr">
        <is>
          <t>R-01</t>
        </is>
      </c>
      <c r="B2" s="6" t="inlineStr">
        <is>
          <t>Users cannot authenticate, blocking checkout entirely</t>
        </is>
      </c>
      <c r="C2" s="6" t="inlineStr">
        <is>
          <t>Login &amp; Authentication</t>
        </is>
      </c>
      <c r="D2" s="7" t="n">
        <v>5</v>
      </c>
      <c r="E2" s="7" t="n">
        <v>3</v>
      </c>
      <c r="F2" s="8" t="n">
        <v>15</v>
      </c>
      <c r="G2" s="7" t="inlineStr">
        <is>
          <t>P1</t>
        </is>
      </c>
      <c r="H2" s="6" t="inlineStr">
        <is>
          <t>TC-LOGIN-001, TC-LOGIN-002, TC-LOGIN-003, TC-LOGIN-004, TC-LOGIN-009, TC-LOGIN-017</t>
        </is>
      </c>
      <c r="I2" s="7" t="n">
        <v>6</v>
      </c>
      <c r="J2" s="9" t="n"/>
      <c r="K2" s="9" t="n"/>
      <c r="L2" s="9" t="n"/>
      <c r="M2" s="9" t="n"/>
    </row>
    <row r="3" ht="34" customHeight="1">
      <c r="A3" s="6" t="inlineStr">
        <is>
          <t>R-02</t>
        </is>
      </c>
      <c r="B3" s="6" t="inlineStr">
        <is>
          <t>Form validation is absent or misleading, so users cannot self-correct</t>
        </is>
      </c>
      <c r="C3" s="6" t="inlineStr">
        <is>
          <t>Login &amp; Authentication</t>
        </is>
      </c>
      <c r="D3" s="7" t="n">
        <v>4</v>
      </c>
      <c r="E3" s="7" t="n">
        <v>4</v>
      </c>
      <c r="F3" s="8" t="n">
        <v>16</v>
      </c>
      <c r="G3" s="7" t="inlineStr">
        <is>
          <t>P1</t>
        </is>
      </c>
      <c r="H3" s="6" t="inlineStr">
        <is>
          <t>TC-LOGIN-005, TC-LOGIN-006, TC-LOGIN-007, TC-LOGIN-012, TC-LOGIN-013, TC-LOGIN-014, TC-LOGIN-016</t>
        </is>
      </c>
      <c r="I3" s="7" t="n">
        <v>7</v>
      </c>
      <c r="J3" s="9" t="n"/>
      <c r="K3" s="9" t="n"/>
      <c r="L3" s="9" t="n"/>
      <c r="M3" s="9" t="n"/>
    </row>
    <row r="4" ht="34" customHeight="1">
      <c r="A4" s="6" t="inlineStr">
        <is>
          <t>R-03</t>
        </is>
      </c>
      <c r="B4" s="6" t="inlineStr">
        <is>
          <t>Credentials or payment data are exposed on screen, in screenshots or in logs</t>
        </is>
      </c>
      <c r="C4" s="6" t="inlineStr">
        <is>
          <t>Cross-cutting</t>
        </is>
      </c>
      <c r="D4" s="7" t="n">
        <v>5</v>
      </c>
      <c r="E4" s="7" t="n">
        <v>3</v>
      </c>
      <c r="F4" s="8" t="n">
        <v>15</v>
      </c>
      <c r="G4" s="7" t="inlineStr">
        <is>
          <t>P1</t>
        </is>
      </c>
      <c r="H4" s="6" t="inlineStr">
        <is>
          <t>TC-CHKP-008, TC-CHKR-002, TC-CHKS-010, TC-LOGIN-008, TC-LOGIN-010, TC-LOGIN-011, TC-LOGIN-015, TC-WEB-002, TC-WEB-004, TC-XCUT-015</t>
        </is>
      </c>
      <c r="I4" s="7" t="n">
        <v>10</v>
      </c>
      <c r="J4" s="9" t="n"/>
      <c r="K4" s="9" t="n"/>
      <c r="L4" s="9" t="n"/>
      <c r="M4" s="9" t="n"/>
    </row>
    <row r="5" ht="34" customHeight="1">
      <c r="A5" s="6" t="inlineStr">
        <is>
          <t>R-04</t>
        </is>
      </c>
      <c r="B5" s="6" t="inlineStr">
        <is>
          <t>User-facing copy contains errors, placeholders or inconsistencies</t>
        </is>
      </c>
      <c r="C5" s="6" t="inlineStr">
        <is>
          <t>Cross-cutting</t>
        </is>
      </c>
      <c r="D5" s="7" t="n">
        <v>2</v>
      </c>
      <c r="E5" s="7" t="n">
        <v>5</v>
      </c>
      <c r="F5" s="8" t="n">
        <v>10</v>
      </c>
      <c r="G5" s="7" t="inlineStr">
        <is>
          <t>P2</t>
        </is>
      </c>
      <c r="H5" s="6" t="inlineStr">
        <is>
          <t>TC-CHKR-012, TC-CHKR-014, TC-LOGIN-018, TC-LOGIN-019, TC-LOGIN-022, TC-PDP-011, TC-XCUT-012</t>
        </is>
      </c>
      <c r="I5" s="7" t="n">
        <v>7</v>
      </c>
      <c r="J5" s="9" t="n"/>
      <c r="K5" s="9" t="n"/>
      <c r="L5" s="9" t="n"/>
      <c r="M5" s="9" t="n"/>
    </row>
    <row r="6" ht="34" customHeight="1">
      <c r="A6" s="6" t="inlineStr">
        <is>
          <t>R-05</t>
        </is>
      </c>
      <c r="B6" s="6" t="inlineStr">
        <is>
          <t>App state (cart, session, selections) is lost on process death or backgrounding</t>
        </is>
      </c>
      <c r="C6" s="6" t="inlineStr">
        <is>
          <t>Cross-cutting</t>
        </is>
      </c>
      <c r="D6" s="7" t="n">
        <v>5</v>
      </c>
      <c r="E6" s="7" t="n">
        <v>4</v>
      </c>
      <c r="F6" s="8" t="n">
        <v>20</v>
      </c>
      <c r="G6" s="7" t="inlineStr">
        <is>
          <t>P1</t>
        </is>
      </c>
      <c r="H6" s="6" t="inlineStr">
        <is>
          <t>TC-CART-009, TC-CART-010, TC-CHKR-010, TC-E2E-004, TC-LOGIN-020, TC-LOGIN-021, TC-SORT-010, TC-XCUT-003, TC-XCUT-004, TC-XCUT-008, TC-XCUT-020</t>
        </is>
      </c>
      <c r="I6" s="7" t="n">
        <v>11</v>
      </c>
      <c r="J6" s="9" t="n"/>
      <c r="K6" s="9" t="n"/>
      <c r="L6" s="9" t="n"/>
      <c r="M6" s="9" t="n"/>
    </row>
    <row r="7" ht="34" customHeight="1">
      <c r="A7" s="6" t="inlineStr">
        <is>
          <t>R-06</t>
        </is>
      </c>
      <c r="B7" s="6" t="inlineStr">
        <is>
          <t>Catalogue fails to render, blocking all downstream discovery</t>
        </is>
      </c>
      <c r="C7" s="6" t="inlineStr">
        <is>
          <t>Catalog</t>
        </is>
      </c>
      <c r="D7" s="7" t="n">
        <v>5</v>
      </c>
      <c r="E7" s="7" t="n">
        <v>2</v>
      </c>
      <c r="F7" s="8" t="n">
        <v>10</v>
      </c>
      <c r="G7" s="7" t="inlineStr">
        <is>
          <t>P2</t>
        </is>
      </c>
      <c r="H7" s="6" t="inlineStr">
        <is>
          <t>TC-CAT-001, TC-CAT-002, TC-CAT-003, TC-CAT-004</t>
        </is>
      </c>
      <c r="I7" s="7" t="n">
        <v>4</v>
      </c>
      <c r="J7" s="9" t="n"/>
      <c r="K7" s="9" t="n"/>
      <c r="L7" s="9" t="n"/>
      <c r="M7" s="9" t="n"/>
    </row>
    <row r="8" ht="34" customHeight="1">
      <c r="A8" s="6" t="inlineStr">
        <is>
          <t>R-07</t>
        </is>
      </c>
      <c r="B8" s="6" t="inlineStr">
        <is>
          <t>The same price is displayed inconsistently across screens</t>
        </is>
      </c>
      <c r="C8" s="6" t="inlineStr">
        <is>
          <t>Catalog</t>
        </is>
      </c>
      <c r="D8" s="7" t="n">
        <v>5</v>
      </c>
      <c r="E8" s="7" t="n">
        <v>3</v>
      </c>
      <c r="F8" s="8" t="n">
        <v>15</v>
      </c>
      <c r="G8" s="7" t="inlineStr">
        <is>
          <t>P1</t>
        </is>
      </c>
      <c r="H8" s="6" t="inlineStr">
        <is>
          <t>TC-CAT-005, TC-PDP-002, TC-XCUT-014</t>
        </is>
      </c>
      <c r="I8" s="7" t="n">
        <v>3</v>
      </c>
      <c r="J8" s="9" t="n"/>
      <c r="K8" s="9" t="n"/>
      <c r="L8" s="9" t="n"/>
      <c r="M8" s="9" t="n"/>
    </row>
    <row r="9" ht="34" customHeight="1">
      <c r="A9" s="6" t="inlineStr">
        <is>
          <t>R-08</t>
        </is>
      </c>
      <c r="B9" s="6" t="inlineStr">
        <is>
          <t>Product detail shows the wrong product or incomplete information</t>
        </is>
      </c>
      <c r="C9" s="6" t="inlineStr">
        <is>
          <t>Product Detail</t>
        </is>
      </c>
      <c r="D9" s="7" t="n">
        <v>4</v>
      </c>
      <c r="E9" s="7" t="n">
        <v>3</v>
      </c>
      <c r="F9" s="8" t="n">
        <v>12</v>
      </c>
      <c r="G9" s="7" t="inlineStr">
        <is>
          <t>P2</t>
        </is>
      </c>
      <c r="H9" s="6" t="inlineStr">
        <is>
          <t>TC-CAT-006, TC-PDP-001, TC-PDP-003, TC-PDP-010</t>
        </is>
      </c>
      <c r="I9" s="7" t="n">
        <v>4</v>
      </c>
      <c r="J9" s="9" t="n"/>
      <c r="K9" s="9" t="n"/>
      <c r="L9" s="9" t="n"/>
      <c r="M9" s="9" t="n"/>
    </row>
    <row r="10" ht="34" customHeight="1">
      <c r="A10" s="6" t="inlineStr">
        <is>
          <t>R-09</t>
        </is>
      </c>
      <c r="B10" s="6" t="inlineStr">
        <is>
          <t>App is slow to start, janky to scroll, or degrades over a session</t>
        </is>
      </c>
      <c r="C10" s="6" t="inlineStr">
        <is>
          <t>Cross-cutting</t>
        </is>
      </c>
      <c r="D10" s="7" t="n">
        <v>3</v>
      </c>
      <c r="E10" s="7" t="n">
        <v>3</v>
      </c>
      <c r="F10" s="8" t="n">
        <v>9</v>
      </c>
      <c r="G10" s="7" t="inlineStr">
        <is>
          <t>P2</t>
        </is>
      </c>
      <c r="H10" s="6" t="inlineStr">
        <is>
          <t>TC-CAT-007, TC-XCUT-001, TC-XCUT-002, TC-XCUT-016</t>
        </is>
      </c>
      <c r="I10" s="7" t="n">
        <v>4</v>
      </c>
      <c r="J10" s="9" t="n"/>
      <c r="K10" s="9" t="n"/>
      <c r="L10" s="9" t="n"/>
      <c r="M10" s="9" t="n"/>
    </row>
    <row r="11" ht="34" customHeight="1">
      <c r="A11" s="6" t="inlineStr">
        <is>
          <t>R-10</t>
        </is>
      </c>
      <c r="B11" s="6" t="inlineStr">
        <is>
          <t>Navigation loses sort, scroll position or entered form data</t>
        </is>
      </c>
      <c r="C11" s="6" t="inlineStr">
        <is>
          <t>Cross-cutting</t>
        </is>
      </c>
      <c r="D11" s="7" t="n">
        <v>4</v>
      </c>
      <c r="E11" s="7" t="n">
        <v>4</v>
      </c>
      <c r="F11" s="8" t="n">
        <v>16</v>
      </c>
      <c r="G11" s="7" t="inlineStr">
        <is>
          <t>P1</t>
        </is>
      </c>
      <c r="H11" s="6" t="inlineStr">
        <is>
          <t>TC-CAT-008, TC-CHKP-012, TC-CHKS-011, TC-PDP-013, TC-SORT-007</t>
        </is>
      </c>
      <c r="I11" s="7" t="n">
        <v>5</v>
      </c>
      <c r="J11" s="9" t="n"/>
      <c r="K11" s="9" t="n"/>
      <c r="L11" s="9" t="n"/>
      <c r="M11" s="9" t="n"/>
    </row>
    <row r="12" ht="34" customHeight="1">
      <c r="A12" s="6" t="inlineStr">
        <is>
          <t>R-11</t>
        </is>
      </c>
      <c r="B12" s="6" t="inlineStr">
        <is>
          <t>Cart badge or contents do not match what the user actually added</t>
        </is>
      </c>
      <c r="C12" s="6" t="inlineStr">
        <is>
          <t>Cart</t>
        </is>
      </c>
      <c r="D12" s="7" t="n">
        <v>5</v>
      </c>
      <c r="E12" s="7" t="n">
        <v>3</v>
      </c>
      <c r="F12" s="8" t="n">
        <v>15</v>
      </c>
      <c r="G12" s="7" t="inlineStr">
        <is>
          <t>P1</t>
        </is>
      </c>
      <c r="H12" s="6" t="inlineStr">
        <is>
          <t>TC-CART-002, TC-CAT-009, TC-PDP-007, TC-PDP-008, TC-PDP-017</t>
        </is>
      </c>
      <c r="I12" s="7" t="n">
        <v>5</v>
      </c>
      <c r="J12" s="9" t="n"/>
      <c r="K12" s="9" t="n"/>
      <c r="L12" s="9" t="n"/>
      <c r="M12" s="9" t="n"/>
    </row>
    <row r="13" ht="34" customHeight="1">
      <c r="A13" s="6" t="inlineStr">
        <is>
          <t>R-12</t>
        </is>
      </c>
      <c r="B13" s="6" t="inlineStr">
        <is>
          <t>Rotation or a configuration change loses data or breaks the layout</t>
        </is>
      </c>
      <c r="C13" s="6" t="inlineStr">
        <is>
          <t>Cross-cutting</t>
        </is>
      </c>
      <c r="D13" s="7" t="n">
        <v>4</v>
      </c>
      <c r="E13" s="7" t="n">
        <v>4</v>
      </c>
      <c r="F13" s="8" t="n">
        <v>16</v>
      </c>
      <c r="G13" s="7" t="inlineStr">
        <is>
          <t>P1</t>
        </is>
      </c>
      <c r="H13" s="6" t="inlineStr">
        <is>
          <t>TC-CAT-010, TC-DRAW-003, TC-XCUT-005, TC-XCUT-006, TC-XCUT-007</t>
        </is>
      </c>
      <c r="I13" s="7" t="n">
        <v>5</v>
      </c>
      <c r="J13" s="9" t="n"/>
      <c r="K13" s="9" t="n"/>
      <c r="L13" s="9" t="n"/>
      <c r="M13" s="9" t="n"/>
    </row>
    <row r="14" ht="34" customHeight="1">
      <c r="A14" s="6" t="inlineStr">
        <is>
          <t>R-13</t>
        </is>
      </c>
      <c r="B14" s="6" t="inlineStr">
        <is>
          <t>Users relying on a screen reader, large text or colour alternatives cannot complete a purchase</t>
        </is>
      </c>
      <c r="C14" s="6" t="inlineStr">
        <is>
          <t>Cross-cutting</t>
        </is>
      </c>
      <c r="D14" s="7" t="n">
        <v>5</v>
      </c>
      <c r="E14" s="7" t="n">
        <v>3</v>
      </c>
      <c r="F14" s="8" t="n">
        <v>15</v>
      </c>
      <c r="G14" s="7" t="inlineStr">
        <is>
          <t>P1</t>
        </is>
      </c>
      <c r="H14" s="6" t="inlineStr">
        <is>
          <t>TC-CART-014, TC-CART-015, TC-CAT-011, TC-CAT-012, TC-CHKR-013, TC-NAV-007, TC-PDP-014, TC-PDP-015, TC-SORT-011, TC-XCUT-009, TC-XCUT-010, TC-XCUT-011</t>
        </is>
      </c>
      <c r="I14" s="7" t="n">
        <v>12</v>
      </c>
      <c r="J14" s="9" t="n"/>
      <c r="K14" s="9" t="n"/>
      <c r="L14" s="9" t="n"/>
      <c r="M14" s="9" t="n"/>
    </row>
    <row r="15" ht="34" customHeight="1">
      <c r="A15" s="6" t="inlineStr">
        <is>
          <t>R-14</t>
        </is>
      </c>
      <c r="B15" s="6" t="inlineStr">
        <is>
          <t>Loss of network produces an infinite spinner, a blank screen or a false success</t>
        </is>
      </c>
      <c r="C15" s="6" t="inlineStr">
        <is>
          <t>Cross-cutting</t>
        </is>
      </c>
      <c r="D15" s="7" t="n">
        <v>4</v>
      </c>
      <c r="E15" s="7" t="n">
        <v>4</v>
      </c>
      <c r="F15" s="8" t="n">
        <v>16</v>
      </c>
      <c r="G15" s="7" t="inlineStr">
        <is>
          <t>P1</t>
        </is>
      </c>
      <c r="H15" s="6" t="inlineStr">
        <is>
          <t>TC-CAT-013, TC-CHKR-009, TC-PDP-016, TC-WEB-003</t>
        </is>
      </c>
      <c r="I15" s="7" t="n">
        <v>4</v>
      </c>
      <c r="J15" s="9" t="n"/>
      <c r="K15" s="9" t="n"/>
      <c r="L15" s="9" t="n"/>
      <c r="M15" s="9" t="n"/>
    </row>
    <row r="16" ht="34" customHeight="1">
      <c r="A16" s="6" t="inlineStr">
        <is>
          <t>R-15</t>
        </is>
      </c>
      <c r="B16" s="6" t="inlineStr">
        <is>
          <t>Rapid repeated input causes duplicate actions, including duplicate orders</t>
        </is>
      </c>
      <c r="C16" s="6" t="inlineStr">
        <is>
          <t>Cross-cutting</t>
        </is>
      </c>
      <c r="D16" s="7" t="n">
        <v>5</v>
      </c>
      <c r="E16" s="7" t="n">
        <v>3</v>
      </c>
      <c r="F16" s="8" t="n">
        <v>15</v>
      </c>
      <c r="G16" s="7" t="inlineStr">
        <is>
          <t>P1</t>
        </is>
      </c>
      <c r="H16" s="6" t="inlineStr">
        <is>
          <t>TC-CART-012, TC-CAT-014, TC-CHKR-008, TC-NAV-006, TC-SORT-009</t>
        </is>
      </c>
      <c r="I16" s="7" t="n">
        <v>5</v>
      </c>
      <c r="J16" s="9" t="n"/>
      <c r="K16" s="9" t="n"/>
      <c r="L16" s="9" t="n"/>
      <c r="M16" s="9" t="n"/>
    </row>
    <row r="17" ht="34" customHeight="1">
      <c r="A17" s="6" t="inlineStr">
        <is>
          <t>R-16</t>
        </is>
      </c>
      <c r="B17" s="6" t="inlineStr">
        <is>
          <t>Sorting produces an incorrect order, or adds, drops or duplicates products</t>
        </is>
      </c>
      <c r="C17" s="6" t="inlineStr">
        <is>
          <t>Sorting</t>
        </is>
      </c>
      <c r="D17" s="7" t="n">
        <v>4</v>
      </c>
      <c r="E17" s="7" t="n">
        <v>3</v>
      </c>
      <c r="F17" s="8" t="n">
        <v>12</v>
      </c>
      <c r="G17" s="7" t="inlineStr">
        <is>
          <t>P2</t>
        </is>
      </c>
      <c r="H17" s="6" t="inlineStr">
        <is>
          <t>TC-SORT-001, TC-SORT-002, TC-SORT-003, TC-SORT-004, TC-SORT-005, TC-SORT-006, TC-SORT-008</t>
        </is>
      </c>
      <c r="I17" s="7" t="n">
        <v>7</v>
      </c>
      <c r="J17" s="9" t="n"/>
      <c r="K17" s="9" t="n"/>
      <c r="L17" s="9" t="n"/>
      <c r="M17" s="9" t="n"/>
    </row>
    <row r="18" ht="34" customHeight="1">
      <c r="A18" s="6" t="inlineStr">
        <is>
          <t>R-17</t>
        </is>
      </c>
      <c r="B18" s="6" t="inlineStr">
        <is>
          <t>Quantity controls allow an invalid quantity or miscalculate the line total</t>
        </is>
      </c>
      <c r="C18" s="6" t="inlineStr">
        <is>
          <t>Product Detail</t>
        </is>
      </c>
      <c r="D18" s="7" t="n">
        <v>5</v>
      </c>
      <c r="E18" s="7" t="n">
        <v>3</v>
      </c>
      <c r="F18" s="8" t="n">
        <v>15</v>
      </c>
      <c r="G18" s="7" t="inlineStr">
        <is>
          <t>P1</t>
        </is>
      </c>
      <c r="H18" s="6" t="inlineStr">
        <is>
          <t>TC-PDP-004, TC-PDP-005, TC-PDP-006</t>
        </is>
      </c>
      <c r="I18" s="7" t="n">
        <v>3</v>
      </c>
      <c r="J18" s="9" t="n"/>
      <c r="K18" s="9" t="n"/>
      <c r="L18" s="9" t="n"/>
      <c r="M18" s="9" t="n"/>
    </row>
    <row r="19" ht="34" customHeight="1">
      <c r="A19" s="6" t="inlineStr">
        <is>
          <t>R-18</t>
        </is>
      </c>
      <c r="B19" s="6" t="inlineStr">
        <is>
          <t>Product rating control behaves incorrectly</t>
        </is>
      </c>
      <c r="C19" s="6" t="inlineStr">
        <is>
          <t>Product Detail</t>
        </is>
      </c>
      <c r="D19" s="7" t="n">
        <v>1</v>
      </c>
      <c r="E19" s="7" t="n">
        <v>3</v>
      </c>
      <c r="F19" s="8" t="n">
        <v>3</v>
      </c>
      <c r="G19" s="7" t="inlineStr">
        <is>
          <t>P3</t>
        </is>
      </c>
      <c r="H19" s="6" t="inlineStr">
        <is>
          <t>TC-PDP-009</t>
        </is>
      </c>
      <c r="I19" s="7" t="n">
        <v>1</v>
      </c>
      <c r="J19" s="9" t="n"/>
      <c r="K19" s="9" t="n"/>
      <c r="L19" s="9" t="n"/>
      <c r="M19" s="9" t="n"/>
    </row>
    <row r="20" ht="34" customHeight="1">
      <c r="A20" s="6" t="inlineStr">
        <is>
          <t>R-19</t>
        </is>
      </c>
      <c r="B20" s="6" t="inlineStr">
        <is>
          <t>External links or scanned URLs open the wrong destination</t>
        </is>
      </c>
      <c r="C20" s="6" t="inlineStr">
        <is>
          <t>Cross-cutting</t>
        </is>
      </c>
      <c r="D20" s="7" t="n">
        <v>3</v>
      </c>
      <c r="E20" s="7" t="n">
        <v>2</v>
      </c>
      <c r="F20" s="8" t="n">
        <v>6</v>
      </c>
      <c r="G20" s="7" t="inlineStr">
        <is>
          <t>P3</t>
        </is>
      </c>
      <c r="H20" s="6" t="inlineStr">
        <is>
          <t>TC-PDP-012, TC-QR-003, TC-WEB-001</t>
        </is>
      </c>
      <c r="I20" s="7" t="n">
        <v>3</v>
      </c>
      <c r="J20" s="9" t="n"/>
      <c r="K20" s="9" t="n"/>
      <c r="L20" s="9" t="n"/>
      <c r="M20" s="9" t="n"/>
    </row>
    <row r="21" ht="34" customHeight="1">
      <c r="A21" s="6" t="inlineStr">
        <is>
          <t>R-20</t>
        </is>
      </c>
      <c r="B21" s="6" t="inlineStr">
        <is>
          <t>Empty states are dead ends with no way forward</t>
        </is>
      </c>
      <c r="C21" s="6" t="inlineStr">
        <is>
          <t>Cart</t>
        </is>
      </c>
      <c r="D21" s="7" t="n">
        <v>3</v>
      </c>
      <c r="E21" s="7" t="n">
        <v>3</v>
      </c>
      <c r="F21" s="8" t="n">
        <v>9</v>
      </c>
      <c r="G21" s="7" t="inlineStr">
        <is>
          <t>P2</t>
        </is>
      </c>
      <c r="H21" s="6" t="inlineStr">
        <is>
          <t>TC-CART-001, TC-CART-008, TC-CART-011</t>
        </is>
      </c>
      <c r="I21" s="7" t="n">
        <v>3</v>
      </c>
      <c r="J21" s="9" t="n"/>
      <c r="K21" s="9" t="n"/>
      <c r="L21" s="9" t="n"/>
      <c r="M21" s="9" t="n"/>
    </row>
    <row r="22" ht="34" customHeight="1">
      <c r="A22" s="6" t="inlineStr">
        <is>
          <t>R-21</t>
        </is>
      </c>
      <c r="B22" s="6" t="inlineStr">
        <is>
          <t>Order arithmetic is wrong — the customer is shown an incorrect total</t>
        </is>
      </c>
      <c r="C22" s="6" t="inlineStr">
        <is>
          <t>Cart</t>
        </is>
      </c>
      <c r="D22" s="7" t="n">
        <v>5</v>
      </c>
      <c r="E22" s="7" t="n">
        <v>3</v>
      </c>
      <c r="F22" s="8" t="n">
        <v>15</v>
      </c>
      <c r="G22" s="7" t="inlineStr">
        <is>
          <t>P1</t>
        </is>
      </c>
      <c r="H22" s="6" t="inlineStr">
        <is>
          <t>TC-CART-003, TC-CART-004, TC-CART-005, TC-CART-006, TC-CART-007, TC-CART-013, TC-CHKR-004, TC-E2E-003</t>
        </is>
      </c>
      <c r="I22" s="7" t="n">
        <v>8</v>
      </c>
      <c r="J22" s="9" t="n"/>
      <c r="K22" s="9" t="n"/>
      <c r="L22" s="9" t="n"/>
      <c r="M22" s="9" t="n"/>
    </row>
    <row r="23" ht="34" customHeight="1">
      <c r="A23" s="6" t="inlineStr">
        <is>
          <t>R-22</t>
        </is>
      </c>
      <c r="B23" s="6" t="inlineStr">
        <is>
          <t>Checkout cannot be reached, or the cart is lost on the way into it</t>
        </is>
      </c>
      <c r="C23" s="6" t="inlineStr">
        <is>
          <t>Checkout — Shipping</t>
        </is>
      </c>
      <c r="D23" s="7" t="n">
        <v>5</v>
      </c>
      <c r="E23" s="7" t="n">
        <v>3</v>
      </c>
      <c r="F23" s="8" t="n">
        <v>15</v>
      </c>
      <c r="G23" s="7" t="inlineStr">
        <is>
          <t>P1</t>
        </is>
      </c>
      <c r="H23" s="6" t="inlineStr">
        <is>
          <t>TC-CHKS-001, TC-CHKS-002, TC-CHKS-005, TC-E2E-002</t>
        </is>
      </c>
      <c r="I23" s="7" t="n">
        <v>4</v>
      </c>
      <c r="J23" s="9" t="n"/>
      <c r="K23" s="9" t="n"/>
      <c r="L23" s="9" t="n"/>
      <c r="M23" s="9" t="n"/>
    </row>
    <row r="24" ht="34" customHeight="1">
      <c r="A24" s="6" t="inlineStr">
        <is>
          <t>R-23</t>
        </is>
      </c>
      <c r="B24" s="6" t="inlineStr">
        <is>
          <t>Shipping form validation blocks valid input or accepts undeliverable input</t>
        </is>
      </c>
      <c r="C24" s="6" t="inlineStr">
        <is>
          <t>Checkout — Shipping</t>
        </is>
      </c>
      <c r="D24" s="7" t="n">
        <v>4</v>
      </c>
      <c r="E24" s="7" t="n">
        <v>4</v>
      </c>
      <c r="F24" s="8" t="n">
        <v>16</v>
      </c>
      <c r="G24" s="7" t="inlineStr">
        <is>
          <t>P1</t>
        </is>
      </c>
      <c r="H24" s="6" t="inlineStr">
        <is>
          <t>TC-CHKS-003, TC-CHKS-004, TC-CHKS-006, TC-CHKS-007, TC-CHKS-009</t>
        </is>
      </c>
      <c r="I24" s="7" t="n">
        <v>5</v>
      </c>
      <c r="J24" s="9" t="n"/>
      <c r="K24" s="9" t="n"/>
      <c r="L24" s="9" t="n"/>
      <c r="M24" s="9" t="n"/>
    </row>
    <row r="25" ht="34" customHeight="1">
      <c r="A25" s="6" t="inlineStr">
        <is>
          <t>R-24</t>
        </is>
      </c>
      <c r="B25" s="6" t="inlineStr">
        <is>
          <t>European names, characters and formats are mishandled</t>
        </is>
      </c>
      <c r="C25" s="6" t="inlineStr">
        <is>
          <t>Checkout — Shipping</t>
        </is>
      </c>
      <c r="D25" s="7" t="n">
        <v>4</v>
      </c>
      <c r="E25" s="7" t="n">
        <v>3</v>
      </c>
      <c r="F25" s="8" t="n">
        <v>12</v>
      </c>
      <c r="G25" s="7" t="inlineStr">
        <is>
          <t>P2</t>
        </is>
      </c>
      <c r="H25" s="6" t="inlineStr">
        <is>
          <t>TC-CHKS-008, TC-XCUT-013</t>
        </is>
      </c>
      <c r="I25" s="7" t="n">
        <v>2</v>
      </c>
      <c r="J25" s="9" t="n"/>
      <c r="K25" s="9" t="n"/>
      <c r="L25" s="9" t="n"/>
      <c r="M25" s="9" t="n"/>
    </row>
    <row r="26" ht="34" customHeight="1">
      <c r="A26" s="6" t="inlineStr">
        <is>
          <t>R-25</t>
        </is>
      </c>
      <c r="B26" s="6" t="inlineStr">
        <is>
          <t>Friction in the checkout forms causes avoidable abandonment</t>
        </is>
      </c>
      <c r="C26" s="6" t="inlineStr">
        <is>
          <t>Cross-cutting</t>
        </is>
      </c>
      <c r="D26" s="7" t="n">
        <v>3</v>
      </c>
      <c r="E26" s="7" t="n">
        <v>4</v>
      </c>
      <c r="F26" s="8" t="n">
        <v>12</v>
      </c>
      <c r="G26" s="7" t="inlineStr">
        <is>
          <t>P2</t>
        </is>
      </c>
      <c r="H26" s="6" t="inlineStr">
        <is>
          <t>TC-CHKP-013, TC-CHKS-012, TC-CHKS-013, TC-XCUT-017, TC-XCUT-018, TC-XCUT-019</t>
        </is>
      </c>
      <c r="I26" s="7" t="n">
        <v>6</v>
      </c>
      <c r="J26" s="9" t="n"/>
      <c r="K26" s="9" t="n"/>
      <c r="L26" s="9" t="n"/>
      <c r="M26" s="9" t="n"/>
    </row>
    <row r="27" ht="34" customHeight="1">
      <c r="A27" s="6" t="inlineStr">
        <is>
          <t>R-26</t>
        </is>
      </c>
      <c r="B27" s="6" t="inlineStr">
        <is>
          <t>Payment form does not collect or present payment details correctly</t>
        </is>
      </c>
      <c r="C27" s="6" t="inlineStr">
        <is>
          <t>Checkout — Payment</t>
        </is>
      </c>
      <c r="D27" s="7" t="n">
        <v>5</v>
      </c>
      <c r="E27" s="7" t="n">
        <v>3</v>
      </c>
      <c r="F27" s="8" t="n">
        <v>15</v>
      </c>
      <c r="G27" s="7" t="inlineStr">
        <is>
          <t>P1</t>
        </is>
      </c>
      <c r="H27" s="6" t="inlineStr">
        <is>
          <t>TC-CHKP-001, TC-CHKP-003, TC-CHKP-010, TC-CHKP-011</t>
        </is>
      </c>
      <c r="I27" s="7" t="n">
        <v>4</v>
      </c>
      <c r="J27" s="9" t="n"/>
      <c r="K27" s="9" t="n"/>
      <c r="L27" s="9" t="n"/>
      <c r="M27" s="9" t="n"/>
    </row>
    <row r="28" ht="34" customHeight="1">
      <c r="A28" s="6" t="inlineStr">
        <is>
          <t>R-27</t>
        </is>
      </c>
      <c r="B28" s="6" t="inlineStr">
        <is>
          <t>Payment validation accepts invalid card data, guaranteeing a later failure</t>
        </is>
      </c>
      <c r="C28" s="6" t="inlineStr">
        <is>
          <t>Checkout — Payment</t>
        </is>
      </c>
      <c r="D28" s="7" t="n">
        <v>5</v>
      </c>
      <c r="E28" s="7" t="n">
        <v>3</v>
      </c>
      <c r="F28" s="8" t="n">
        <v>15</v>
      </c>
      <c r="G28" s="7" t="inlineStr">
        <is>
          <t>P1</t>
        </is>
      </c>
      <c r="H28" s="6" t="inlineStr">
        <is>
          <t>TC-CHKP-002, TC-CHKP-004, TC-CHKP-005, TC-CHKP-006, TC-CHKP-007, TC-CHKP-009</t>
        </is>
      </c>
      <c r="I28" s="7" t="n">
        <v>6</v>
      </c>
      <c r="J28" s="9" t="n"/>
      <c r="K28" s="9" t="n"/>
      <c r="L28" s="9" t="n"/>
      <c r="M28" s="9" t="n"/>
    </row>
    <row r="29" ht="34" customHeight="1">
      <c r="A29" s="6" t="inlineStr">
        <is>
          <t>R-28</t>
        </is>
      </c>
      <c r="B29" s="6" t="inlineStr">
        <is>
          <t>The order placed does not match what the customer reviewed and agreed to</t>
        </is>
      </c>
      <c r="C29" s="6" t="inlineStr">
        <is>
          <t>Checkout — Review</t>
        </is>
      </c>
      <c r="D29" s="7" t="n">
        <v>5</v>
      </c>
      <c r="E29" s="7" t="n">
        <v>3</v>
      </c>
      <c r="F29" s="8" t="n">
        <v>15</v>
      </c>
      <c r="G29" s="7" t="inlineStr">
        <is>
          <t>P1</t>
        </is>
      </c>
      <c r="H29" s="6" t="inlineStr">
        <is>
          <t>TC-CHKR-001, TC-CHKR-003, TC-CHKR-005, TC-CHKR-006, TC-CHKR-007, TC-CHKR-011, TC-E2E-005</t>
        </is>
      </c>
      <c r="I29" s="7" t="n">
        <v>7</v>
      </c>
      <c r="J29" s="9" t="n"/>
      <c r="K29" s="9" t="n"/>
      <c r="L29" s="9" t="n"/>
      <c r="M29" s="9" t="n"/>
    </row>
    <row r="30" ht="34" customHeight="1">
      <c r="A30" s="6" t="inlineStr">
        <is>
          <t>R-29</t>
        </is>
      </c>
      <c r="B30" s="6" t="inlineStr">
        <is>
          <t>The end-to-end purchase journey cannot be completed at all</t>
        </is>
      </c>
      <c r="C30" s="6" t="inlineStr">
        <is>
          <t>End-to-End</t>
        </is>
      </c>
      <c r="D30" s="7" t="n">
        <v>5</v>
      </c>
      <c r="E30" s="7" t="n">
        <v>2</v>
      </c>
      <c r="F30" s="8" t="n">
        <v>10</v>
      </c>
      <c r="G30" s="7" t="inlineStr">
        <is>
          <t>P2</t>
        </is>
      </c>
      <c r="H30" s="6" t="inlineStr">
        <is>
          <t>TC-E2E-001</t>
        </is>
      </c>
      <c r="I30" s="7" t="n">
        <v>1</v>
      </c>
      <c r="J30" s="9" t="n"/>
      <c r="K30" s="9" t="n"/>
      <c r="L30" s="9" t="n"/>
      <c r="M30" s="9" t="n"/>
    </row>
    <row r="31" ht="34" customHeight="1">
      <c r="A31" s="6" t="inlineStr">
        <is>
          <t>R-30</t>
        </is>
      </c>
      <c r="B31" s="6" t="inlineStr">
        <is>
          <t>Navigation is broken, trapping the user or exposing the wrong screen</t>
        </is>
      </c>
      <c r="C31" s="6" t="inlineStr">
        <is>
          <t>Menu &amp; Navigation</t>
        </is>
      </c>
      <c r="D31" s="7" t="n">
        <v>4</v>
      </c>
      <c r="E31" s="7" t="n">
        <v>3</v>
      </c>
      <c r="F31" s="8" t="n">
        <v>12</v>
      </c>
      <c r="G31" s="7" t="inlineStr">
        <is>
          <t>P2</t>
        </is>
      </c>
      <c r="H31" s="6" t="inlineStr">
        <is>
          <t>TC-NAV-001, TC-NAV-002, TC-NAV-003, TC-NAV-004, TC-NAV-005</t>
        </is>
      </c>
      <c r="I31" s="7" t="n">
        <v>5</v>
      </c>
      <c r="J31" s="9" t="n"/>
      <c r="K31" s="9" t="n"/>
      <c r="L31" s="9" t="n"/>
      <c r="M31" s="9" t="n"/>
    </row>
    <row r="32" ht="34" customHeight="1">
      <c r="A32" s="6" t="inlineStr">
        <is>
          <t>R-31</t>
        </is>
      </c>
      <c r="B32" s="6" t="inlineStr">
        <is>
          <t>Runtime permissions are requested or handled incorrectly</t>
        </is>
      </c>
      <c r="C32" s="6" t="inlineStr">
        <is>
          <t>Cross-cutting</t>
        </is>
      </c>
      <c r="D32" s="7" t="n">
        <v>3</v>
      </c>
      <c r="E32" s="7" t="n">
        <v>3</v>
      </c>
      <c r="F32" s="8" t="n">
        <v>9</v>
      </c>
      <c r="G32" s="7" t="inlineStr">
        <is>
          <t>P2</t>
        </is>
      </c>
      <c r="H32" s="6" t="inlineStr">
        <is>
          <t>TC-GEO-001, TC-GEO-002, TC-GEO-003, TC-QR-001, TC-QR-002</t>
        </is>
      </c>
      <c r="I32" s="7" t="n">
        <v>5</v>
      </c>
      <c r="J32" s="9" t="n"/>
      <c r="K32" s="9" t="n"/>
      <c r="L32" s="9" t="n"/>
      <c r="M32" s="9" t="n"/>
    </row>
    <row r="33" ht="34" customHeight="1">
      <c r="A33" s="6" t="inlineStr">
        <is>
          <t>R-32</t>
        </is>
      </c>
      <c r="B33" s="6" t="inlineStr">
        <is>
          <t>Drawing screen loses work or renders incorrectly</t>
        </is>
      </c>
      <c r="C33" s="6" t="inlineStr">
        <is>
          <t>Drawing</t>
        </is>
      </c>
      <c r="D33" s="7" t="n">
        <v>1</v>
      </c>
      <c r="E33" s="7" t="n">
        <v>3</v>
      </c>
      <c r="F33" s="8" t="n">
        <v>3</v>
      </c>
      <c r="G33" s="7" t="inlineStr">
        <is>
          <t>P3</t>
        </is>
      </c>
      <c r="H33" s="6" t="inlineStr">
        <is>
          <t>TC-DRAW-001, TC-DRAW-002</t>
        </is>
      </c>
      <c r="I33" s="7" t="n">
        <v>2</v>
      </c>
      <c r="J33" s="9" t="n"/>
      <c r="K33" s="9" t="n"/>
      <c r="L33" s="9" t="n"/>
      <c r="M33" s="9" t="n"/>
    </row>
  </sheetData>
  <autoFilter ref="A1:M33"/>
  <dataValidations count="2">
    <dataValidation sqref="J2:J33" showDropDown="0" showInputMessage="0" showErrorMessage="0" allowBlank="1" type="list">
      <formula1>"Pass,Fail,Partial,Not Run"</formula1>
    </dataValidation>
    <dataValidation sqref="L2:L33" showDropDown="0" showInputMessage="0" showErrorMessage="0" allowBlank="1" type="list">
      <formula1>"Covered,Partially Covered,Not Covered"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E12"/>
  <sheetViews>
    <sheetView showGridLines="0" workbookViewId="0">
      <selection activeCell="A1" sqref="A1"/>
    </sheetView>
  </sheetViews>
  <sheetFormatPr baseColWidth="8" defaultRowHeight="15"/>
  <cols>
    <col width="3" customWidth="1" min="1" max="1"/>
    <col width="36" customWidth="1" min="2" max="2"/>
    <col width="13" customWidth="1" min="3" max="3"/>
    <col width="3" customWidth="1" min="4" max="4"/>
    <col width="52" customWidth="1" min="5" max="5"/>
  </cols>
  <sheetData>
    <row r="2">
      <c r="B2" s="1" t="inlineStr">
        <is>
          <t>Coverage Summary</t>
        </is>
      </c>
    </row>
    <row r="3">
      <c r="B3" s="10" t="inlineStr">
        <is>
          <t>Calculated from the RTM tab.</t>
        </is>
      </c>
    </row>
    <row r="5">
      <c r="B5" s="2" t="inlineStr">
        <is>
          <t>Total risks / requirements</t>
        </is>
      </c>
      <c r="C5" s="11">
        <f>COUNTA(RTM!$A$2:$A$33)</f>
        <v/>
      </c>
      <c r="E5" s="10" t="inlineStr"/>
    </row>
    <row r="6">
      <c r="B6" s="2" t="inlineStr">
        <is>
          <t>Risks with at least one test case</t>
        </is>
      </c>
      <c r="C6" s="11">
        <f>COUNTIF(RTM!$I$2:$I$33,"&gt;0")</f>
        <v/>
      </c>
      <c r="E6" s="10" t="inlineStr"/>
    </row>
    <row r="7">
      <c r="B7" s="2" t="inlineStr">
        <is>
          <t>Requirements coverage</t>
        </is>
      </c>
      <c r="C7" s="12">
        <f>IFERROR(COUNTIF(RTM!$I$2:$I$33,"&gt;0")/COUNTA(RTM!$A$2:$A$33),0)</f>
        <v/>
      </c>
      <c r="E7" s="10" t="inlineStr">
        <is>
          <t>Target 100%</t>
        </is>
      </c>
    </row>
    <row r="8">
      <c r="B8" s="2" t="inlineStr">
        <is>
          <t>Total test-case links</t>
        </is>
      </c>
      <c r="C8" s="11">
        <f>SUM(RTM!$I$2:$I$33)</f>
        <v/>
      </c>
      <c r="E8" s="10" t="inlineStr">
        <is>
          <t>Must equal 164 — every case maps to exactly one risk</t>
        </is>
      </c>
    </row>
    <row r="9">
      <c r="B9" s="2" t="inlineStr">
        <is>
          <t>High-risk requirements (score 15+)</t>
        </is>
      </c>
      <c r="C9" s="11">
        <f>COUNTIF(RTM!$F$2:$F$33,"&gt;=15")</f>
        <v/>
      </c>
      <c r="E9" s="10" t="inlineStr">
        <is>
          <t>These drive the P1 test-case allocation</t>
        </is>
      </c>
    </row>
    <row r="10">
      <c r="B10" s="2" t="inlineStr">
        <is>
          <t>Marked Covered</t>
        </is>
      </c>
      <c r="C10" s="11">
        <f>COUNTIF(RTM!$L$2:$L$33,"Covered")</f>
        <v/>
      </c>
      <c r="E10" s="10" t="inlineStr">
        <is>
          <t>Fill in during execution</t>
        </is>
      </c>
    </row>
    <row r="11">
      <c r="B11" s="2" t="inlineStr">
        <is>
          <t>Marked Not Covered</t>
        </is>
      </c>
      <c r="C11" s="11">
        <f>COUNTIF(RTM!$L$2:$L$33,"Not Covered")</f>
        <v/>
      </c>
      <c r="E11" s="10" t="inlineStr">
        <is>
          <t>Must be 0 at exit</t>
        </is>
      </c>
    </row>
    <row r="12">
      <c r="B12" s="2" t="inlineStr">
        <is>
          <t>Requirements with a Fail result</t>
        </is>
      </c>
      <c r="C12" s="11">
        <f>COUNTIF(RTM!$J$2:$J$33,"Fail")</f>
        <v/>
      </c>
      <c r="E12" s="10" t="inlineStr">
        <is>
          <t>Each needs a linked defect 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2026-08-20T19:28:34Z</dcterms:created>
  <dcterms:modified xmlns:dcterms="http://purl.org/dc/terms/" xmlns:xsi="http://www.w3.org/2001/XMLSchema-instance" xsi:type="dcterms:W3CDTF">2026-08-20T19:28:34Z</dcterms:modified>
</cp:coreProperties>
</file>