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st Cases" sheetId="2" state="visible" r:id="rId2"/>
    <sheet xmlns:r="http://schemas.openxmlformats.org/officeDocument/2006/relationships" name="Dashboard" sheetId="3" state="visible" r:id="rId3"/>
  </sheets>
  <definedNames>
    <definedName name="_xlnm._FilterDatabase" localSheetId="1" hidden="1">'Test Cases'!$A$1:$R$165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sz val="10"/>
    </font>
    <font>
      <name val="Arial"/>
      <b val="1"/>
      <color rgb="00FFFFFF"/>
      <sz val="10"/>
    </font>
    <font>
      <name val="Arial"/>
      <i val="1"/>
      <sz val="9"/>
    </font>
  </fonts>
  <fills count="8">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FFE699"/>
      </patternFill>
    </fill>
    <fill>
      <patternFill patternType="solid">
        <fgColor rgb="00E2EFDA"/>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0" borderId="0" pivotButton="0" quotePrefix="0" xfId="0"/>
    <xf numFmtId="0" fontId="2" fillId="0" borderId="1" pivotButton="0" quotePrefix="0" xfId="0"/>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3" fillId="0" borderId="1" pivotButton="0" quotePrefix="0" xfId="0"/>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 fontId="3" fillId="7" borderId="1" applyAlignment="1" pivotButton="0" quotePrefix="0" xfId="0">
      <alignment horizontal="center" vertical="center" wrapText="1"/>
    </xf>
    <xf numFmtId="164"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3" customWidth="1" min="1" max="1"/>
    <col width="32" customWidth="1" min="2" max="2"/>
    <col width="108" customWidth="1" min="3" max="3"/>
  </cols>
  <sheetData>
    <row r="2">
      <c r="B2" s="1" t="inlineStr">
        <is>
          <t>Manual Test Suite — My Demo App (Android)</t>
        </is>
      </c>
    </row>
    <row r="3">
      <c r="B3" s="2" t="inlineStr"/>
      <c r="C3" s="3" t="inlineStr"/>
    </row>
    <row r="4">
      <c r="B4" s="4" t="inlineStr">
        <is>
          <t>Application</t>
        </is>
      </c>
      <c r="C4" s="3" t="inlineStr">
        <is>
          <t>My Demo App (Android), package com.saucelabs.mydemoapp.android</t>
        </is>
      </c>
    </row>
    <row r="5">
      <c r="B5" s="4" t="inlineStr">
        <is>
          <t>Source</t>
        </is>
      </c>
      <c r="C5" s="3" t="inlineStr">
        <is>
          <t>https://github.com/saucelabs/my-demo-app-android/releases  (open-source demo app built for QA practice)</t>
        </is>
      </c>
    </row>
    <row r="6">
      <c r="B6" s="4" t="inlineStr">
        <is>
          <t>Author</t>
        </is>
      </c>
      <c r="C6" s="3" t="inlineStr">
        <is>
          <t>Akanksh Gurupadappa Akki</t>
        </is>
      </c>
    </row>
    <row r="7">
      <c r="B7" s="4" t="inlineStr">
        <is>
          <t>Total test cases</t>
        </is>
      </c>
      <c r="C7" s="3" t="inlineStr">
        <is>
          <t>164</t>
        </is>
      </c>
    </row>
    <row r="8">
      <c r="B8" s="4" t="inlineStr">
        <is>
          <t>Priority split</t>
        </is>
      </c>
      <c r="C8" s="3" t="inlineStr">
        <is>
          <t>P1 66  ·  P2 69  ·  P3 29</t>
        </is>
      </c>
    </row>
    <row r="9">
      <c r="B9" s="4" t="inlineStr">
        <is>
          <t>Modules</t>
        </is>
      </c>
      <c r="C9" s="3" t="inlineStr">
        <is>
          <t>15</t>
        </is>
      </c>
    </row>
    <row r="10">
      <c r="B10" s="2" t="inlineStr"/>
      <c r="C10" s="3" t="inlineStr"/>
    </row>
    <row r="11">
      <c r="B11" s="4" t="inlineStr">
        <is>
          <t>HOW TO USE THIS WORKBOOK</t>
        </is>
      </c>
      <c r="C11" s="3" t="inlineStr"/>
    </row>
    <row r="12">
      <c r="B12" s="4" t="inlineStr">
        <is>
          <t>Columns A to L</t>
        </is>
      </c>
      <c r="C12" s="3" t="inlineStr">
        <is>
          <t>The designed test cases. Read only — do not edit these during execution.</t>
        </is>
      </c>
    </row>
    <row r="13">
      <c r="B13" s="4" t="inlineStr">
        <is>
          <t>Columns M to R</t>
        </is>
      </c>
      <c r="C13" s="3" t="inlineStr">
        <is>
          <t>Yours to fill in as you execute (shaded yellow): Status, Actual Result, Executed On, Defect ID, Device, Notes.</t>
        </is>
      </c>
    </row>
    <row r="14">
      <c r="B14" s="4" t="inlineStr">
        <is>
          <t>Status values</t>
        </is>
      </c>
      <c r="C14" s="3" t="inlineStr">
        <is>
          <t>Pass · Fail · Blocked · Not Run · N/A   (dropdown provided)</t>
        </is>
      </c>
    </row>
    <row r="15">
      <c r="B15" s="4" t="inlineStr">
        <is>
          <t>Blocked vs Fail</t>
        </is>
      </c>
      <c r="C15" s="3" t="inlineStr">
        <is>
          <t>Use Blocked when an earlier defect made the case impossible to run. Use Fail only when you ran it and it did not behave as expected. This distinction keeps the coverage report honest.</t>
        </is>
      </c>
    </row>
    <row r="16">
      <c r="B16" s="4" t="inlineStr">
        <is>
          <t>Dashboard</t>
        </is>
      </c>
      <c r="C16" s="3" t="inlineStr">
        <is>
          <t>The Dashboard tab calculates everything automatically from column M. Never type into its shaded result cells.</t>
        </is>
      </c>
    </row>
    <row r="17">
      <c r="B17" s="4" t="inlineStr">
        <is>
          <t>Filtering</t>
        </is>
      </c>
      <c r="C17" s="3" t="inlineStr">
        <is>
          <t>Every column has an autofilter. Filter Type to work through one testing document at a time, or Priority = P1 for the release gate.</t>
        </is>
      </c>
    </row>
    <row r="18">
      <c r="B18" s="2" t="inlineStr"/>
      <c r="C18" s="3" t="inlineStr"/>
    </row>
    <row r="19">
      <c r="B19" s="4" t="inlineStr">
        <is>
          <t>EXAMPLE ROW</t>
        </is>
      </c>
      <c r="C19" s="3" t="inlineStr"/>
    </row>
    <row r="20">
      <c r="B20" s="4" t="inlineStr">
        <is>
          <t>Example</t>
        </is>
      </c>
      <c r="C20" s="3" t="inlineStr">
        <is>
          <t>TC-CART-003 | Status: Fail | Actual Result: 'Displayed total 64.98; hand calculation 2 x 29.49 + 5.99 = 64.97. Off by one cent.' | Executed On: 2026-08-20 | Defect ID: BUG-004 | Device: Pixel 7 / Android 14 | Notes: 'Reproduced 5/5'</t>
        </is>
      </c>
    </row>
    <row r="21">
      <c r="B21" s="2" t="inlineStr"/>
      <c r="C21" s="3" t="inlineStr"/>
    </row>
    <row r="22">
      <c r="B22" s="4" t="inlineStr">
        <is>
          <t>EVIDENCE</t>
        </is>
      </c>
      <c r="C22" s="3" t="inlineStr">
        <is>
          <t>Capture a screenshot or recording BEFORE moving on from any failure. Commands are in evidence/README.md.</t>
        </is>
      </c>
    </row>
    <row r="23">
      <c r="B23" s="2" t="inlineStr"/>
      <c r="C23" s="3" t="inlineStr"/>
    </row>
    <row r="24">
      <c r="B24" s="4" t="inlineStr">
        <is>
          <t>DATA PROTECTION</t>
        </is>
      </c>
      <c r="C24" s="3" t="inlineStr"/>
    </row>
    <row r="25">
      <c r="B25" s="4" t="inlineStr">
        <is>
          <t>Rule</t>
        </is>
      </c>
      <c r="C25" s="3" t="inlineStr">
        <is>
          <t>Use only fictional names and obvious dummy card numbers such as 4111111111111111. Never enter real personal or payment data, and never record any in this workbook or in evidence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54" customWidth="1" min="3" max="3"/>
    <col width="15" customWidth="1" min="4" max="4"/>
    <col width="9" customWidth="1" min="5" max="5"/>
    <col width="14" customWidth="1" min="6" max="6"/>
    <col width="34" customWidth="1" min="7" max="7"/>
    <col width="62" customWidth="1" min="8" max="8"/>
    <col width="62" customWidth="1" min="9" max="9"/>
    <col width="28" customWidth="1" min="10" max="10"/>
    <col width="9" customWidth="1" min="11" max="11"/>
    <col width="13" customWidth="1" min="12" max="12"/>
    <col width="12" customWidth="1" min="13" max="13"/>
    <col width="40" customWidth="1" min="14" max="14"/>
    <col width="13" customWidth="1" min="15" max="15"/>
    <col width="12" customWidth="1" min="16" max="16"/>
    <col width="18" customWidth="1" min="17" max="17"/>
    <col width="28" customWidth="1" min="18" max="18"/>
  </cols>
  <sheetData>
    <row r="1" ht="30" customHeight="1">
      <c r="A1" s="5" t="inlineStr">
        <is>
          <t>ID</t>
        </is>
      </c>
      <c r="B1" s="5" t="inlineStr">
        <is>
          <t>Module</t>
        </is>
      </c>
      <c r="C1" s="5" t="inlineStr">
        <is>
          <t>Title</t>
        </is>
      </c>
      <c r="D1" s="5" t="inlineStr">
        <is>
          <t>Type</t>
        </is>
      </c>
      <c r="E1" s="5" t="inlineStr">
        <is>
          <t>Priority</t>
        </is>
      </c>
      <c r="F1" s="5" t="inlineStr">
        <is>
          <t>Journey Stage</t>
        </is>
      </c>
      <c r="G1" s="5" t="inlineStr">
        <is>
          <t>Preconditions</t>
        </is>
      </c>
      <c r="H1" s="5" t="inlineStr">
        <is>
          <t>Steps</t>
        </is>
      </c>
      <c r="I1" s="5" t="inlineStr">
        <is>
          <t>Expected Result</t>
        </is>
      </c>
      <c r="J1" s="5" t="inlineStr">
        <is>
          <t>Technique</t>
        </is>
      </c>
      <c r="K1" s="5" t="inlineStr">
        <is>
          <t>Risk ID</t>
        </is>
      </c>
      <c r="L1" s="5" t="inlineStr">
        <is>
          <t>Automation Candidate</t>
        </is>
      </c>
      <c r="M1" s="5" t="inlineStr">
        <is>
          <t>Status</t>
        </is>
      </c>
      <c r="N1" s="5" t="inlineStr">
        <is>
          <t>Actual Result</t>
        </is>
      </c>
      <c r="O1" s="5" t="inlineStr">
        <is>
          <t>Executed On</t>
        </is>
      </c>
      <c r="P1" s="5" t="inlineStr">
        <is>
          <t>Defect ID</t>
        </is>
      </c>
      <c r="Q1" s="5" t="inlineStr">
        <is>
          <t>Device</t>
        </is>
      </c>
      <c r="R1" s="5" t="inlineStr">
        <is>
          <t>Notes</t>
        </is>
      </c>
    </row>
    <row r="2" ht="92" customHeight="1">
      <c r="A2" s="6" t="inlineStr">
        <is>
          <t>TC-LOGIN-001</t>
        </is>
      </c>
      <c r="B2" s="6" t="inlineStr">
        <is>
          <t>Login &amp; Authentication</t>
        </is>
      </c>
      <c r="C2" s="6" t="inlineStr">
        <is>
          <t>Login screen is reachable from the menu and renders all its controls</t>
        </is>
      </c>
      <c r="D2" s="6" t="inlineStr">
        <is>
          <t>Smoke</t>
        </is>
      </c>
      <c r="E2" s="7" t="inlineStr">
        <is>
          <t>P1</t>
        </is>
      </c>
      <c r="F2" s="6" t="inlineStr">
        <is>
          <t>Account</t>
        </is>
      </c>
      <c r="G2" s="6" t="inlineStr">
        <is>
          <t>App installed and launched. User is logged out.</t>
        </is>
      </c>
      <c r="H2" s="6" t="inlineStr">
        <is>
          <t>1. Tap the hamburger menu icon (top left)
2. Tap 'Log In'
3. Observe the screen</t>
        </is>
      </c>
      <c r="I2" s="6" t="inlineStr">
        <is>
          <t>The Login screen opens with: a 'Login' heading, the helper text about selecting a username, a Usernames list, a Username field, a Password field and a Login button. Nothing is cut off or overlapping.</t>
        </is>
      </c>
      <c r="J2" s="6" t="inlineStr">
        <is>
          <t>Specification-based (use case)</t>
        </is>
      </c>
      <c r="K2" s="6" t="inlineStr">
        <is>
          <t>R-01</t>
        </is>
      </c>
      <c r="L2" s="6" t="inlineStr">
        <is>
          <t>Yes</t>
        </is>
      </c>
      <c r="M2" s="8" t="inlineStr">
        <is>
          <t>Not Run</t>
        </is>
      </c>
      <c r="N2" s="9" t="n"/>
      <c r="O2" s="9" t="n"/>
      <c r="P2" s="9" t="n"/>
      <c r="Q2" s="9" t="n"/>
      <c r="R2" s="9" t="n"/>
    </row>
    <row r="3" ht="92" customHeight="1">
      <c r="A3" s="6" t="inlineStr">
        <is>
          <t>TC-LOGIN-002</t>
        </is>
      </c>
      <c r="B3" s="6" t="inlineStr">
        <is>
          <t>Login &amp; Authentication</t>
        </is>
      </c>
      <c r="C3" s="6" t="inlineStr">
        <is>
          <t>Tapping a listed username auto-populates both the username and password fields</t>
        </is>
      </c>
      <c r="D3" s="6" t="inlineStr">
        <is>
          <t>Functional</t>
        </is>
      </c>
      <c r="E3" s="7" t="inlineStr">
        <is>
          <t>P1</t>
        </is>
      </c>
      <c r="F3" s="6" t="inlineStr">
        <is>
          <t>Account</t>
        </is>
      </c>
      <c r="G3" s="6" t="inlineStr">
        <is>
          <t>User is on the Login screen.</t>
        </is>
      </c>
      <c r="H3" s="6" t="inlineStr">
        <is>
          <t>1. Read the helper text on screen — it states that tapping a username auto-populates the credentials
2. Tap the first listed username
3. Observe the Username field
4. Observe the Password field</t>
        </is>
      </c>
      <c r="I3" s="6" t="inlineStr">
        <is>
          <t>Both fields are populated. The Username field contains exactly the username that was tapped. The Password field contains a masked value. No field is left empty.</t>
        </is>
      </c>
      <c r="J3" s="6" t="inlineStr">
        <is>
          <t>Specification-based (use case)</t>
        </is>
      </c>
      <c r="K3" s="6" t="inlineStr">
        <is>
          <t>R-01</t>
        </is>
      </c>
      <c r="L3" s="6" t="inlineStr">
        <is>
          <t>Yes</t>
        </is>
      </c>
      <c r="M3" s="8" t="inlineStr">
        <is>
          <t>Not Run</t>
        </is>
      </c>
      <c r="N3" s="9" t="n"/>
      <c r="O3" s="9" t="n"/>
      <c r="P3" s="9" t="n"/>
      <c r="Q3" s="9" t="n"/>
      <c r="R3" s="9" t="n"/>
    </row>
    <row r="4" ht="92" customHeight="1">
      <c r="A4" s="6" t="inlineStr">
        <is>
          <t>TC-LOGIN-003</t>
        </is>
      </c>
      <c r="B4" s="6" t="inlineStr">
        <is>
          <t>Login &amp; Authentication</t>
        </is>
      </c>
      <c r="C4" s="6" t="inlineStr">
        <is>
          <t>Valid credentials log the user in successfully</t>
        </is>
      </c>
      <c r="D4" s="6" t="inlineStr">
        <is>
          <t>Smoke</t>
        </is>
      </c>
      <c r="E4" s="7" t="inlineStr">
        <is>
          <t>P1</t>
        </is>
      </c>
      <c r="F4" s="6" t="inlineStr">
        <is>
          <t>Account</t>
        </is>
      </c>
      <c r="G4" s="6" t="inlineStr">
        <is>
          <t>User is on the Login screen and logged out.</t>
        </is>
      </c>
      <c r="H4" s="6" t="inlineStr">
        <is>
          <t>1. Tap the standard (non-locked-out) username in the list to auto-populate credentials
2. Tap Login
3. Observe the resulting screen
4. Open the menu and check the Log In / Log Out entry</t>
        </is>
      </c>
      <c r="I4" s="6" t="inlineStr">
        <is>
          <t>Login succeeds. The user is taken to the Catalog (or back to the screen that required login). The menu now shows 'Log Out' instead of 'Log In'. No error message is displayed.</t>
        </is>
      </c>
      <c r="J4" s="6" t="inlineStr">
        <is>
          <t>Specification-based (use case)</t>
        </is>
      </c>
      <c r="K4" s="6" t="inlineStr">
        <is>
          <t>R-01</t>
        </is>
      </c>
      <c r="L4" s="6" t="inlineStr">
        <is>
          <t>Yes</t>
        </is>
      </c>
      <c r="M4" s="8" t="inlineStr">
        <is>
          <t>Not Run</t>
        </is>
      </c>
      <c r="N4" s="9" t="n"/>
      <c r="O4" s="9" t="n"/>
      <c r="P4" s="9" t="n"/>
      <c r="Q4" s="9" t="n"/>
      <c r="R4" s="9" t="n"/>
    </row>
    <row r="5" ht="92" customHeight="1">
      <c r="A5" s="6" t="inlineStr">
        <is>
          <t>TC-LOGIN-004</t>
        </is>
      </c>
      <c r="B5" s="6" t="inlineStr">
        <is>
          <t>Login &amp; Authentication</t>
        </is>
      </c>
      <c r="C5" s="6" t="inlineStr">
        <is>
          <t>The locked-out user is refused with a clear, specific message</t>
        </is>
      </c>
      <c r="D5" s="6" t="inlineStr">
        <is>
          <t>Functional</t>
        </is>
      </c>
      <c r="E5" s="7" t="inlineStr">
        <is>
          <t>P1</t>
        </is>
      </c>
      <c r="F5" s="6" t="inlineStr">
        <is>
          <t>Account</t>
        </is>
      </c>
      <c r="G5" s="6" t="inlineStr">
        <is>
          <t>User is on the Login screen. The list marks one username as locked out.</t>
        </is>
      </c>
      <c r="H5" s="6" t="inlineStr">
        <is>
          <t>1. Tap the username labelled as locked out to auto-populate credentials
2. Tap Login
3. Read the error message exactly as displayed
4. Confirm whether the user is still on the Login screen</t>
        </is>
      </c>
      <c r="I5" s="6" t="inlineStr">
        <is>
          <t>Login is refused. An error states the user has been locked out — it does not say 'wrong password', because that would be misleading. The user remains on the Login screen with the entered username retained.</t>
        </is>
      </c>
      <c r="J5" s="6" t="inlineStr">
        <is>
          <t>Specification-based (error guessing)</t>
        </is>
      </c>
      <c r="K5" s="6" t="inlineStr">
        <is>
          <t>R-01</t>
        </is>
      </c>
      <c r="L5" s="6" t="inlineStr">
        <is>
          <t>Yes</t>
        </is>
      </c>
      <c r="M5" s="8" t="inlineStr">
        <is>
          <t>Not Run</t>
        </is>
      </c>
      <c r="N5" s="9" t="n"/>
      <c r="O5" s="9" t="n"/>
      <c r="P5" s="9" t="n"/>
      <c r="Q5" s="9" t="n"/>
      <c r="R5" s="9" t="n"/>
    </row>
    <row r="6" ht="92" customHeight="1">
      <c r="A6" s="6" t="inlineStr">
        <is>
          <t>TC-LOGIN-005</t>
        </is>
      </c>
      <c r="B6" s="6" t="inlineStr">
        <is>
          <t>Login &amp; Authentication</t>
        </is>
      </c>
      <c r="C6" s="6" t="inlineStr">
        <is>
          <t>Submitting with an empty username shows a username-specific validation error</t>
        </is>
      </c>
      <c r="D6" s="6" t="inlineStr">
        <is>
          <t>Negative</t>
        </is>
      </c>
      <c r="E6" s="7" t="inlineStr">
        <is>
          <t>P1</t>
        </is>
      </c>
      <c r="F6" s="6" t="inlineStr">
        <is>
          <t>Account</t>
        </is>
      </c>
      <c r="G6" s="6" t="inlineStr">
        <is>
          <t>User is on the Login screen. Both fields empty.</t>
        </is>
      </c>
      <c r="H6" s="6" t="inlineStr">
        <is>
          <t>1. Leave the Username field empty
2. Type any value into the Password field
3. Tap Login
4. Observe which field is flagged and read the message</t>
        </is>
      </c>
      <c r="I6" s="6" t="inlineStr">
        <is>
          <t>A validation error appears on the Username field stating that a username is required. The Password field is not flagged. No login attempt is made and the screen does not change.</t>
        </is>
      </c>
      <c r="J6" s="6" t="inlineStr">
        <is>
          <t>Equivalence partitioning (invalid class: absent)</t>
        </is>
      </c>
      <c r="K6" s="6" t="inlineStr">
        <is>
          <t>R-02</t>
        </is>
      </c>
      <c r="L6" s="6" t="inlineStr">
        <is>
          <t>Yes</t>
        </is>
      </c>
      <c r="M6" s="8" t="inlineStr">
        <is>
          <t>Not Run</t>
        </is>
      </c>
      <c r="N6" s="9" t="n"/>
      <c r="O6" s="9" t="n"/>
      <c r="P6" s="9" t="n"/>
      <c r="Q6" s="9" t="n"/>
      <c r="R6" s="9" t="n"/>
    </row>
    <row r="7" ht="92" customHeight="1">
      <c r="A7" s="6" t="inlineStr">
        <is>
          <t>TC-LOGIN-006</t>
        </is>
      </c>
      <c r="B7" s="6" t="inlineStr">
        <is>
          <t>Login &amp; Authentication</t>
        </is>
      </c>
      <c r="C7" s="6" t="inlineStr">
        <is>
          <t>Submitting with an empty password shows a password-specific validation error</t>
        </is>
      </c>
      <c r="D7" s="6" t="inlineStr">
        <is>
          <t>Negative</t>
        </is>
      </c>
      <c r="E7" s="7" t="inlineStr">
        <is>
          <t>P1</t>
        </is>
      </c>
      <c r="F7" s="6" t="inlineStr">
        <is>
          <t>Account</t>
        </is>
      </c>
      <c r="G7" s="6" t="inlineStr">
        <is>
          <t>User is on the Login screen.</t>
        </is>
      </c>
      <c r="H7" s="6" t="inlineStr">
        <is>
          <t>1. Populate the Username field with a valid username
2. Leave the Password field empty
3. Tap Login
4. Observe which field is flagged and read the message</t>
        </is>
      </c>
      <c r="I7" s="6" t="inlineStr">
        <is>
          <t>A validation error appears on the Password field stating that a password is required. The Username field is not flagged. No login attempt is made.</t>
        </is>
      </c>
      <c r="J7" s="6" t="inlineStr">
        <is>
          <t>Equivalence partitioning (invalid class: absent)</t>
        </is>
      </c>
      <c r="K7" s="6" t="inlineStr">
        <is>
          <t>R-02</t>
        </is>
      </c>
      <c r="L7" s="6" t="inlineStr">
        <is>
          <t>Yes</t>
        </is>
      </c>
      <c r="M7" s="8" t="inlineStr">
        <is>
          <t>Not Run</t>
        </is>
      </c>
      <c r="N7" s="9" t="n"/>
      <c r="O7" s="9" t="n"/>
      <c r="P7" s="9" t="n"/>
      <c r="Q7" s="9" t="n"/>
      <c r="R7" s="9" t="n"/>
    </row>
    <row r="8" ht="92" customHeight="1">
      <c r="A8" s="6" t="inlineStr">
        <is>
          <t>TC-LOGIN-007</t>
        </is>
      </c>
      <c r="B8" s="6" t="inlineStr">
        <is>
          <t>Login &amp; Authentication</t>
        </is>
      </c>
      <c r="C8" s="6" t="inlineStr">
        <is>
          <t>Submitting with both fields empty flags both fields, not just the first</t>
        </is>
      </c>
      <c r="D8" s="6" t="inlineStr">
        <is>
          <t>Negative</t>
        </is>
      </c>
      <c r="E8" s="10" t="inlineStr">
        <is>
          <t>P2</t>
        </is>
      </c>
      <c r="F8" s="6" t="inlineStr">
        <is>
          <t>Account</t>
        </is>
      </c>
      <c r="G8" s="6" t="inlineStr">
        <is>
          <t>User is on the Login screen with both fields empty.</t>
        </is>
      </c>
      <c r="H8" s="6" t="inlineStr">
        <is>
          <t>1. Tap Login without typing anything
2. Observe both fields</t>
        </is>
      </c>
      <c r="I8" s="6" t="inlineStr">
        <is>
          <t>Both fields show their own validation error simultaneously. The form does not stop at the first error, which would force the user through two round trips to discover both problems.</t>
        </is>
      </c>
      <c r="J8" s="6" t="inlineStr">
        <is>
          <t>Equivalence partitioning</t>
        </is>
      </c>
      <c r="K8" s="6" t="inlineStr">
        <is>
          <t>R-02</t>
        </is>
      </c>
      <c r="L8" s="6" t="inlineStr">
        <is>
          <t>Yes</t>
        </is>
      </c>
      <c r="M8" s="8" t="inlineStr">
        <is>
          <t>Not Run</t>
        </is>
      </c>
      <c r="N8" s="9" t="n"/>
      <c r="O8" s="9" t="n"/>
      <c r="P8" s="9" t="n"/>
      <c r="Q8" s="9" t="n"/>
      <c r="R8" s="9" t="n"/>
    </row>
    <row r="9" ht="92" customHeight="1">
      <c r="A9" s="6" t="inlineStr">
        <is>
          <t>TC-LOGIN-008</t>
        </is>
      </c>
      <c r="B9" s="6" t="inlineStr">
        <is>
          <t>Login &amp; Authentication</t>
        </is>
      </c>
      <c r="C9" s="6" t="inlineStr">
        <is>
          <t>An unrecognised username is rejected without revealing whether the account exists</t>
        </is>
      </c>
      <c r="D9" s="6" t="inlineStr">
        <is>
          <t>Negative</t>
        </is>
      </c>
      <c r="E9" s="10" t="inlineStr">
        <is>
          <t>P2</t>
        </is>
      </c>
      <c r="F9" s="6" t="inlineStr">
        <is>
          <t>Account</t>
        </is>
      </c>
      <c r="G9" s="6" t="inlineStr">
        <is>
          <t>User is on the Login screen.</t>
        </is>
      </c>
      <c r="H9" s="6" t="inlineStr">
        <is>
          <t>1. Type 'nosuchuser@example.com' into Username
2. Type any password
3. Tap Login
4. Read the error message</t>
        </is>
      </c>
      <c r="I9" s="6" t="inlineStr">
        <is>
          <t>Login is refused with a generic credential error. The message does not state 'this user does not exist', because that discloses which email addresses are registered — an account-enumeration weakness.</t>
        </is>
      </c>
      <c r="J9" s="6" t="inlineStr">
        <is>
          <t>Error guessing / security-adjacent</t>
        </is>
      </c>
      <c r="K9" s="6" t="inlineStr">
        <is>
          <t>R-03</t>
        </is>
      </c>
      <c r="L9" s="6" t="inlineStr">
        <is>
          <t>No</t>
        </is>
      </c>
      <c r="M9" s="8" t="inlineStr">
        <is>
          <t>Not Run</t>
        </is>
      </c>
      <c r="N9" s="9" t="n"/>
      <c r="O9" s="9" t="n"/>
      <c r="P9" s="9" t="n"/>
      <c r="Q9" s="9" t="n"/>
      <c r="R9" s="9" t="n"/>
    </row>
    <row r="10" ht="92" customHeight="1">
      <c r="A10" s="6" t="inlineStr">
        <is>
          <t>TC-LOGIN-009</t>
        </is>
      </c>
      <c r="B10" s="6" t="inlineStr">
        <is>
          <t>Login &amp; Authentication</t>
        </is>
      </c>
      <c r="C10" s="6" t="inlineStr">
        <is>
          <t>A valid username with a wrong password is rejected</t>
        </is>
      </c>
      <c r="D10" s="6" t="inlineStr">
        <is>
          <t>Negative</t>
        </is>
      </c>
      <c r="E10" s="7" t="inlineStr">
        <is>
          <t>P1</t>
        </is>
      </c>
      <c r="F10" s="6" t="inlineStr">
        <is>
          <t>Account</t>
        </is>
      </c>
      <c r="G10" s="6" t="inlineStr">
        <is>
          <t>User is on the Login screen.</t>
        </is>
      </c>
      <c r="H10" s="6" t="inlineStr">
        <is>
          <t>1. Tap a listed username to populate the fields
2. Clear the Password field and type 'wrongpassword'
3. Tap Login
4. Read the error and confirm the screen did not change</t>
        </is>
      </c>
      <c r="I10" s="6" t="inlineStr">
        <is>
          <t>Login is refused with a credential error. The user remains on the Login screen. No partial access is granted — for example, the menu must still show 'Log In'.</t>
        </is>
      </c>
      <c r="J10" s="6" t="inlineStr">
        <is>
          <t>Equivalence partitioning (invalid class: wrong value)</t>
        </is>
      </c>
      <c r="K10" s="6" t="inlineStr">
        <is>
          <t>R-01</t>
        </is>
      </c>
      <c r="L10" s="6" t="inlineStr">
        <is>
          <t>Yes</t>
        </is>
      </c>
      <c r="M10" s="8" t="inlineStr">
        <is>
          <t>Not Run</t>
        </is>
      </c>
      <c r="N10" s="9" t="n"/>
      <c r="O10" s="9" t="n"/>
      <c r="P10" s="9" t="n"/>
      <c r="Q10" s="9" t="n"/>
      <c r="R10" s="9" t="n"/>
    </row>
    <row r="11" ht="92" customHeight="1">
      <c r="A11" s="6" t="inlineStr">
        <is>
          <t>TC-LOGIN-010</t>
        </is>
      </c>
      <c r="B11" s="6" t="inlineStr">
        <is>
          <t>Login &amp; Authentication</t>
        </is>
      </c>
      <c r="C11" s="6" t="inlineStr">
        <is>
          <t>Password input is masked and not readable on screen</t>
        </is>
      </c>
      <c r="D11" s="6" t="inlineStr">
        <is>
          <t>Functional</t>
        </is>
      </c>
      <c r="E11" s="7" t="inlineStr">
        <is>
          <t>P1</t>
        </is>
      </c>
      <c r="F11" s="6" t="inlineStr">
        <is>
          <t>Account</t>
        </is>
      </c>
      <c r="G11" s="6" t="inlineStr">
        <is>
          <t>User is on the Login screen.</t>
        </is>
      </c>
      <c r="H11" s="6" t="inlineStr">
        <is>
          <t>1. Tap the Password field
2. Type a password slowly, watching the field
3. Take a screenshot of the screen
4. If a show/hide toggle exists, use it and observe</t>
        </is>
      </c>
      <c r="I11" s="6" t="inlineStr">
        <is>
          <t>Characters are replaced with dots or asterisks. At most the last typed character is briefly visible, which is standard Android behaviour. The screenshot contains no readable password. If a reveal toggle exists it defaults to hidden.</t>
        </is>
      </c>
      <c r="J11" s="6" t="inlineStr">
        <is>
          <t>Security-adjacent / specification-based</t>
        </is>
      </c>
      <c r="K11" s="6" t="inlineStr">
        <is>
          <t>R-03</t>
        </is>
      </c>
      <c r="L11" s="6" t="inlineStr">
        <is>
          <t>No</t>
        </is>
      </c>
      <c r="M11" s="8" t="inlineStr">
        <is>
          <t>Not Run</t>
        </is>
      </c>
      <c r="N11" s="9" t="n"/>
      <c r="O11" s="9" t="n"/>
      <c r="P11" s="9" t="n"/>
      <c r="Q11" s="9" t="n"/>
      <c r="R11" s="9" t="n"/>
    </row>
    <row r="12" ht="92" customHeight="1">
      <c r="A12" s="6" t="inlineStr">
        <is>
          <t>TC-LOGIN-011</t>
        </is>
      </c>
      <c r="B12" s="6" t="inlineStr">
        <is>
          <t>Login &amp; Authentication</t>
        </is>
      </c>
      <c r="C12" s="6" t="inlineStr">
        <is>
          <t>Password is not recoverable from the app switcher preview</t>
        </is>
      </c>
      <c r="D12" s="6" t="inlineStr">
        <is>
          <t>Negative</t>
        </is>
      </c>
      <c r="E12" s="10" t="inlineStr">
        <is>
          <t>P2</t>
        </is>
      </c>
      <c r="F12" s="6" t="inlineStr">
        <is>
          <t>Account</t>
        </is>
      </c>
      <c r="G12" s="6" t="inlineStr">
        <is>
          <t>User is on the Login screen with a password typed in.</t>
        </is>
      </c>
      <c r="H12" s="6" t="inlineStr">
        <is>
          <t>1. Type a password into the field
2. Open the Android app switcher (recents)
3. Look at the app's thumbnail preview
4. Return to the app</t>
        </is>
      </c>
      <c r="I12" s="6" t="inlineStr">
        <is>
          <t>The recents thumbnail either hides the screen contents or shows the password masked. A plaintext password visible in the app switcher would be a real privacy defect.</t>
        </is>
      </c>
      <c r="J12" s="6" t="inlineStr">
        <is>
          <t>Error guessing / security-adjacent</t>
        </is>
      </c>
      <c r="K12" s="6" t="inlineStr">
        <is>
          <t>R-03</t>
        </is>
      </c>
      <c r="L12" s="6" t="inlineStr">
        <is>
          <t>No</t>
        </is>
      </c>
      <c r="M12" s="8" t="inlineStr">
        <is>
          <t>Not Run</t>
        </is>
      </c>
      <c r="N12" s="9" t="n"/>
      <c r="O12" s="9" t="n"/>
      <c r="P12" s="9" t="n"/>
      <c r="Q12" s="9" t="n"/>
      <c r="R12" s="9" t="n"/>
    </row>
    <row r="13" ht="92" customHeight="1">
      <c r="A13" s="6" t="inlineStr">
        <is>
          <t>TC-LOGIN-012</t>
        </is>
      </c>
      <c r="B13" s="6" t="inlineStr">
        <is>
          <t>Login &amp; Authentication</t>
        </is>
      </c>
      <c r="C13" s="6" t="inlineStr">
        <is>
          <t>Username field accepts a maximum-length input without breaking the layout</t>
        </is>
      </c>
      <c r="D13" s="6" t="inlineStr">
        <is>
          <t>Boundary</t>
        </is>
      </c>
      <c r="E13" s="11" t="inlineStr">
        <is>
          <t>P3</t>
        </is>
      </c>
      <c r="F13" s="6" t="inlineStr">
        <is>
          <t>Account</t>
        </is>
      </c>
      <c r="G13" s="6" t="inlineStr">
        <is>
          <t>User is on the Login screen. A 256-character string is on the clipboard.</t>
        </is>
      </c>
      <c r="H13" s="6" t="inlineStr">
        <is>
          <t>1. Paste a 256-character string into the Username field
2. Observe whether the field truncates, scrolls or overflows
3. Tap Login
4. Observe the result</t>
        </is>
      </c>
      <c r="I13" s="6" t="inlineStr">
        <is>
          <t>The field either enforces a maximum length or scrolls its content. Text does not overflow outside the field's bounds and does not push other controls off screen. Login is refused cleanly with no crash.</t>
        </is>
      </c>
      <c r="J13" s="6" t="inlineStr">
        <is>
          <t>Boundary value analysis (upper bound)</t>
        </is>
      </c>
      <c r="K13" s="6" t="inlineStr">
        <is>
          <t>R-02</t>
        </is>
      </c>
      <c r="L13" s="6" t="inlineStr">
        <is>
          <t>No</t>
        </is>
      </c>
      <c r="M13" s="8" t="inlineStr">
        <is>
          <t>Not Run</t>
        </is>
      </c>
      <c r="N13" s="9" t="n"/>
      <c r="O13" s="9" t="n"/>
      <c r="P13" s="9" t="n"/>
      <c r="Q13" s="9" t="n"/>
      <c r="R13" s="9" t="n"/>
    </row>
    <row r="14" ht="92" customHeight="1">
      <c r="A14" s="6" t="inlineStr">
        <is>
          <t>TC-LOGIN-013</t>
        </is>
      </c>
      <c r="B14" s="6" t="inlineStr">
        <is>
          <t>Login &amp; Authentication</t>
        </is>
      </c>
      <c r="C14" s="6" t="inlineStr">
        <is>
          <t>Single-character username and password are handled at the lower boundary</t>
        </is>
      </c>
      <c r="D14" s="6" t="inlineStr">
        <is>
          <t>Boundary</t>
        </is>
      </c>
      <c r="E14" s="11" t="inlineStr">
        <is>
          <t>P3</t>
        </is>
      </c>
      <c r="F14" s="6" t="inlineStr">
        <is>
          <t>Account</t>
        </is>
      </c>
      <c r="G14" s="6" t="inlineStr">
        <is>
          <t>User is on the Login screen.</t>
        </is>
      </c>
      <c r="H14" s="6" t="inlineStr">
        <is>
          <t>1. Type 'a' into Username
2. Type 'a' into Password
3. Tap Login
4. Observe the result</t>
        </is>
      </c>
      <c r="I14" s="6" t="inlineStr">
        <is>
          <t>Either a validation message states the minimum length, or a normal credential error is shown. In neither case does the app crash, hang, or accept the login.</t>
        </is>
      </c>
      <c r="J14" s="6" t="inlineStr">
        <is>
          <t>Boundary value analysis (lower bound)</t>
        </is>
      </c>
      <c r="K14" s="6" t="inlineStr">
        <is>
          <t>R-02</t>
        </is>
      </c>
      <c r="L14" s="6" t="inlineStr">
        <is>
          <t>Yes</t>
        </is>
      </c>
      <c r="M14" s="8" t="inlineStr">
        <is>
          <t>Not Run</t>
        </is>
      </c>
      <c r="N14" s="9" t="n"/>
      <c r="O14" s="9" t="n"/>
      <c r="P14" s="9" t="n"/>
      <c r="Q14" s="9" t="n"/>
      <c r="R14" s="9" t="n"/>
    </row>
    <row r="15" ht="92" customHeight="1">
      <c r="A15" s="6" t="inlineStr">
        <is>
          <t>TC-LOGIN-014</t>
        </is>
      </c>
      <c r="B15" s="6" t="inlineStr">
        <is>
          <t>Login &amp; Authentication</t>
        </is>
      </c>
      <c r="C15" s="6" t="inlineStr">
        <is>
          <t>Leading and trailing whitespace in the username is trimmed or clearly rejected</t>
        </is>
      </c>
      <c r="D15" s="6" t="inlineStr">
        <is>
          <t>Input Validation</t>
        </is>
      </c>
      <c r="E15" s="10" t="inlineStr">
        <is>
          <t>P2</t>
        </is>
      </c>
      <c r="F15" s="6" t="inlineStr">
        <is>
          <t>Account</t>
        </is>
      </c>
      <c r="G15" s="6" t="inlineStr">
        <is>
          <t>User is on the Login screen.</t>
        </is>
      </c>
      <c r="H15" s="6" t="inlineStr">
        <is>
          <t>1. Type a valid username with three spaces before and after it
2. Populate the correct password
3. Tap Login
4. Observe the result</t>
        </is>
      </c>
      <c r="I15" s="6" t="inlineStr">
        <is>
          <t>Either the whitespace is trimmed and login succeeds, or login is refused with a message. What must not happen is a confusing failure where the user cannot see why their apparently correct credentials were rejected.</t>
        </is>
      </c>
      <c r="J15" s="6" t="inlineStr">
        <is>
          <t>Equivalence partitioning (whitespace class)</t>
        </is>
      </c>
      <c r="K15" s="6" t="inlineStr">
        <is>
          <t>R-02</t>
        </is>
      </c>
      <c r="L15" s="6" t="inlineStr">
        <is>
          <t>Yes</t>
        </is>
      </c>
      <c r="M15" s="8" t="inlineStr">
        <is>
          <t>Not Run</t>
        </is>
      </c>
      <c r="N15" s="9" t="n"/>
      <c r="O15" s="9" t="n"/>
      <c r="P15" s="9" t="n"/>
      <c r="Q15" s="9" t="n"/>
      <c r="R15" s="9" t="n"/>
    </row>
    <row r="16" ht="92" customHeight="1">
      <c r="A16" s="6" t="inlineStr">
        <is>
          <t>TC-LOGIN-015</t>
        </is>
      </c>
      <c r="B16" s="6" t="inlineStr">
        <is>
          <t>Login &amp; Authentication</t>
        </is>
      </c>
      <c r="C16" s="6" t="inlineStr">
        <is>
          <t>Script-like and SQL-like input in the credential fields is treated as plain text</t>
        </is>
      </c>
      <c r="D16" s="6" t="inlineStr">
        <is>
          <t>Input Validation</t>
        </is>
      </c>
      <c r="E16" s="10" t="inlineStr">
        <is>
          <t>P2</t>
        </is>
      </c>
      <c r="F16" s="6" t="inlineStr">
        <is>
          <t>Account</t>
        </is>
      </c>
      <c r="G16" s="6" t="inlineStr">
        <is>
          <t>User is on the Login screen.</t>
        </is>
      </c>
      <c r="H16" s="6" t="inlineStr">
        <is>
          <t>1. Type &lt;script&gt;alert(1)&lt;/script&gt; into Username, tap Login, observe
2. Type ' OR '1'='1 into Username, tap Login, observe
3. Type ../../etc/passwd into Username, tap Login, observe</t>
        </is>
      </c>
      <c r="I16" s="6" t="inlineStr">
        <is>
          <t>Each input is treated as an ordinary string. Login is refused. No dialog is executed, no raw markup is rendered, no unhandled exception or stack trace is shown, and the app does not crash. This is a client-side input-handling check on a demo app, not an attack on any backend.</t>
        </is>
      </c>
      <c r="J16" s="6" t="inlineStr">
        <is>
          <t>Error guessing / input validation</t>
        </is>
      </c>
      <c r="K16" s="6" t="inlineStr">
        <is>
          <t>R-03</t>
        </is>
      </c>
      <c r="L16" s="6" t="inlineStr">
        <is>
          <t>Yes</t>
        </is>
      </c>
      <c r="M16" s="8" t="inlineStr">
        <is>
          <t>Not Run</t>
        </is>
      </c>
      <c r="N16" s="9" t="n"/>
      <c r="O16" s="9" t="n"/>
      <c r="P16" s="9" t="n"/>
      <c r="Q16" s="9" t="n"/>
      <c r="R16" s="9" t="n"/>
    </row>
    <row r="17" ht="92" customHeight="1">
      <c r="A17" s="6" t="inlineStr">
        <is>
          <t>TC-LOGIN-016</t>
        </is>
      </c>
      <c r="B17" s="6" t="inlineStr">
        <is>
          <t>Login &amp; Authentication</t>
        </is>
      </c>
      <c r="C17" s="6" t="inlineStr">
        <is>
          <t>Emoji and non-Latin characters in the credential fields do not break the app</t>
        </is>
      </c>
      <c r="D17" s="6" t="inlineStr">
        <is>
          <t>Input Validation</t>
        </is>
      </c>
      <c r="E17" s="11" t="inlineStr">
        <is>
          <t>P3</t>
        </is>
      </c>
      <c r="F17" s="6" t="inlineStr">
        <is>
          <t>Account</t>
        </is>
      </c>
      <c r="G17" s="6" t="inlineStr">
        <is>
          <t>User is on the Login screen.</t>
        </is>
      </c>
      <c r="H17" s="6" t="inlineStr">
        <is>
          <t>1. Type an emoji sequence into Username, tap Login
2. Type Cyrillic text (например) into Username, tap Login
3. Type Chinese characters into Username, tap Login</t>
        </is>
      </c>
      <c r="I17" s="6" t="inlineStr">
        <is>
          <t>Each input renders correctly in the field with no replacement boxes or mojibake. Login is refused cleanly. The app does not crash on any of the three.</t>
        </is>
      </c>
      <c r="J17" s="6" t="inlineStr">
        <is>
          <t>Equivalence partitioning (character-set classes)</t>
        </is>
      </c>
      <c r="K17" s="6" t="inlineStr">
        <is>
          <t>R-02</t>
        </is>
      </c>
      <c r="L17" s="6" t="inlineStr">
        <is>
          <t>No</t>
        </is>
      </c>
      <c r="M17" s="8" t="inlineStr">
        <is>
          <t>Not Run</t>
        </is>
      </c>
      <c r="N17" s="9" t="n"/>
      <c r="O17" s="9" t="n"/>
      <c r="P17" s="9" t="n"/>
      <c r="Q17" s="9" t="n"/>
      <c r="R17" s="9" t="n"/>
    </row>
    <row r="18" ht="92" customHeight="1">
      <c r="A18" s="6" t="inlineStr">
        <is>
          <t>TC-LOGIN-017</t>
        </is>
      </c>
      <c r="B18" s="6" t="inlineStr">
        <is>
          <t>Login &amp; Authentication</t>
        </is>
      </c>
      <c r="C18" s="6" t="inlineStr">
        <is>
          <t>Log Out returns the user to a logged-out state with a confirmation</t>
        </is>
      </c>
      <c r="D18" s="6" t="inlineStr">
        <is>
          <t>Functional</t>
        </is>
      </c>
      <c r="E18" s="7" t="inlineStr">
        <is>
          <t>P1</t>
        </is>
      </c>
      <c r="F18" s="6" t="inlineStr">
        <is>
          <t>Account</t>
        </is>
      </c>
      <c r="G18" s="6" t="inlineStr">
        <is>
          <t>User is logged in.</t>
        </is>
      </c>
      <c r="H18" s="6" t="inlineStr">
        <is>
          <t>1. Open the menu
2. Tap 'Log Out'
3. Read any confirmation message
4. Reopen the menu and check the Log In / Log Out entry</t>
        </is>
      </c>
      <c r="I18" s="6" t="inlineStr">
        <is>
          <t>A confirmation message states the user has been logged out. The menu now shows 'Log In'. Any screen that requires authentication redirects to Login rather than showing stale data.</t>
        </is>
      </c>
      <c r="J18" s="6" t="inlineStr">
        <is>
          <t>State transition testing</t>
        </is>
      </c>
      <c r="K18" s="6" t="inlineStr">
        <is>
          <t>R-01</t>
        </is>
      </c>
      <c r="L18" s="6" t="inlineStr">
        <is>
          <t>Yes</t>
        </is>
      </c>
      <c r="M18" s="8" t="inlineStr">
        <is>
          <t>Not Run</t>
        </is>
      </c>
      <c r="N18" s="9" t="n"/>
      <c r="O18" s="9" t="n"/>
      <c r="P18" s="9" t="n"/>
      <c r="Q18" s="9" t="n"/>
      <c r="R18" s="9" t="n"/>
    </row>
    <row r="19" ht="92" customHeight="1">
      <c r="A19" s="6" t="inlineStr">
        <is>
          <t>TC-LOGIN-018</t>
        </is>
      </c>
      <c r="B19" s="6" t="inlineStr">
        <is>
          <t>Login &amp; Authentication</t>
        </is>
      </c>
      <c r="C19" s="6" t="inlineStr">
        <is>
          <t>Log Out message is grammatically correct and professionally worded</t>
        </is>
      </c>
      <c r="D19" s="6" t="inlineStr">
        <is>
          <t>Usability</t>
        </is>
      </c>
      <c r="E19" s="11" t="inlineStr">
        <is>
          <t>P3</t>
        </is>
      </c>
      <c r="F19" s="6" t="inlineStr">
        <is>
          <t>Account</t>
        </is>
      </c>
      <c r="G19" s="6" t="inlineStr">
        <is>
          <t>User is logged in.</t>
        </is>
      </c>
      <c r="H19" s="6" t="inlineStr">
        <is>
          <t>1. Open the menu and tap 'Log Out'
2. Read the confirmation message character by character
3. Screenshot it</t>
        </is>
      </c>
      <c r="I19" s="6" t="inlineStr">
        <is>
          <t>The message is a well-formed English sentence with correct capitalisation. Mid-sentence capitalisation of an ordinary word, or a missing article, is a copy defect worth raising — customer-facing copy is part of the product.</t>
        </is>
      </c>
      <c r="J19" s="6" t="inlineStr">
        <is>
          <t>Static review of user-facing copy</t>
        </is>
      </c>
      <c r="K19" s="6" t="inlineStr">
        <is>
          <t>R-04</t>
        </is>
      </c>
      <c r="L19" s="6" t="inlineStr">
        <is>
          <t>No</t>
        </is>
      </c>
      <c r="M19" s="8" t="inlineStr">
        <is>
          <t>Not Run</t>
        </is>
      </c>
      <c r="N19" s="9" t="n"/>
      <c r="O19" s="9" t="n"/>
      <c r="P19" s="9" t="n"/>
      <c r="Q19" s="9" t="n"/>
      <c r="R19" s="9" t="n"/>
    </row>
    <row r="20" ht="92" customHeight="1">
      <c r="A20" s="6" t="inlineStr">
        <is>
          <t>TC-LOGIN-019</t>
        </is>
      </c>
      <c r="B20" s="6" t="inlineStr">
        <is>
          <t>Login &amp; Authentication</t>
        </is>
      </c>
      <c r="C20" s="6" t="inlineStr">
        <is>
          <t>Listed usernames on the Login screen are spelled correctly</t>
        </is>
      </c>
      <c r="D20" s="6" t="inlineStr">
        <is>
          <t>Usability</t>
        </is>
      </c>
      <c r="E20" s="10" t="inlineStr">
        <is>
          <t>P2</t>
        </is>
      </c>
      <c r="F20" s="6" t="inlineStr">
        <is>
          <t>Account</t>
        </is>
      </c>
      <c r="G20" s="6" t="inlineStr">
        <is>
          <t>User is on the Login screen.</t>
        </is>
      </c>
      <c r="H20" s="6" t="inlineStr">
        <is>
          <t>1. Read every username in the Usernames list letter by letter
2. Compare each against the conventional example-name spelling it appears to intend
3. Screenshot the list</t>
        </is>
      </c>
      <c r="I20" s="6" t="inlineStr">
        <is>
          <t>Every username is spelled as intended. A misspelled demo credential is a genuine defect: it looks careless, and anyone copying the value by eye will type the wrong thing. Report exactly what is on screen.</t>
        </is>
      </c>
      <c r="J20" s="6" t="inlineStr">
        <is>
          <t>Static review of user-facing copy</t>
        </is>
      </c>
      <c r="K20" s="6" t="inlineStr">
        <is>
          <t>R-04</t>
        </is>
      </c>
      <c r="L20" s="6" t="inlineStr">
        <is>
          <t>No</t>
        </is>
      </c>
      <c r="M20" s="8" t="inlineStr">
        <is>
          <t>Not Run</t>
        </is>
      </c>
      <c r="N20" s="9" t="n"/>
      <c r="O20" s="9" t="n"/>
      <c r="P20" s="9" t="n"/>
      <c r="Q20" s="9" t="n"/>
      <c r="R20" s="9" t="n"/>
    </row>
    <row r="21" ht="92" customHeight="1">
      <c r="A21" s="6" t="inlineStr">
        <is>
          <t>TC-LOGIN-020</t>
        </is>
      </c>
      <c r="B21" s="6" t="inlineStr">
        <is>
          <t>Login &amp; Authentication</t>
        </is>
      </c>
      <c r="C21" s="6" t="inlineStr">
        <is>
          <t>Login state survives the app being killed and relaunched</t>
        </is>
      </c>
      <c r="D21" s="6" t="inlineStr">
        <is>
          <t>Functional</t>
        </is>
      </c>
      <c r="E21" s="10" t="inlineStr">
        <is>
          <t>P2</t>
        </is>
      </c>
      <c r="F21" s="6" t="inlineStr">
        <is>
          <t>Account</t>
        </is>
      </c>
      <c r="G21" s="6" t="inlineStr">
        <is>
          <t>User is logged in.</t>
        </is>
      </c>
      <c r="H21" s="6" t="inlineStr">
        <is>
          <t>1. Confirm the menu shows 'Log Out'
2. Force-stop the app: adb shell am force-stop com.saucelabs.mydemoapp.android
3. Relaunch the app from the icon
4. Open the menu</t>
        </is>
      </c>
      <c r="I21" s="6" t="inlineStr">
        <is>
          <t>Nothing in the app states whether the login session survives a restart, so either result is defensible. Record the actual behaviour precisely. If the session is lost, raise it as a question for the Product Owner rather than a defect, because the intended behaviour is unknown.</t>
        </is>
      </c>
      <c r="J21" s="6" t="inlineStr">
        <is>
          <t>State transition testing (process death)</t>
        </is>
      </c>
      <c r="K21" s="6" t="inlineStr">
        <is>
          <t>R-05</t>
        </is>
      </c>
      <c r="L21" s="6" t="inlineStr">
        <is>
          <t>Yes</t>
        </is>
      </c>
      <c r="M21" s="8" t="inlineStr">
        <is>
          <t>Not Run</t>
        </is>
      </c>
      <c r="N21" s="9" t="n"/>
      <c r="O21" s="9" t="n"/>
      <c r="P21" s="9" t="n"/>
      <c r="Q21" s="9" t="n"/>
      <c r="R21" s="9" t="n"/>
    </row>
    <row r="22" ht="92" customHeight="1">
      <c r="A22" s="6" t="inlineStr">
        <is>
          <t>TC-LOGIN-021</t>
        </is>
      </c>
      <c r="B22" s="6" t="inlineStr">
        <is>
          <t>Login &amp; Authentication</t>
        </is>
      </c>
      <c r="C22" s="6" t="inlineStr">
        <is>
          <t>Reset App State clears the session and the cart</t>
        </is>
      </c>
      <c r="D22" s="6" t="inlineStr">
        <is>
          <t>Functional</t>
        </is>
      </c>
      <c r="E22" s="10" t="inlineStr">
        <is>
          <t>P2</t>
        </is>
      </c>
      <c r="F22" s="6" t="inlineStr">
        <is>
          <t>Account</t>
        </is>
      </c>
      <c r="G22" s="6" t="inlineStr">
        <is>
          <t>User is logged in with at least one item in the cart.</t>
        </is>
      </c>
      <c r="H22" s="6" t="inlineStr">
        <is>
          <t>1. Note the cart badge count and that the menu shows 'Log Out'
2. Open the menu and tap 'Reset App State'
3. Observe the cart badge
4. Reopen the menu and check the login entry</t>
        </is>
      </c>
      <c r="I22" s="6" t="inlineStr">
        <is>
          <t>The cart badge returns to empty and the menu shows 'Log In'. Reset App State genuinely clears all app state, not just part of it. A reset that clears the cart but leaves the session is an inconsistency worth raising.</t>
        </is>
      </c>
      <c r="J22" s="6" t="inlineStr">
        <is>
          <t>State transition testing</t>
        </is>
      </c>
      <c r="K22" s="6" t="inlineStr">
        <is>
          <t>R-05</t>
        </is>
      </c>
      <c r="L22" s="6" t="inlineStr">
        <is>
          <t>Yes</t>
        </is>
      </c>
      <c r="M22" s="8" t="inlineStr">
        <is>
          <t>Not Run</t>
        </is>
      </c>
      <c r="N22" s="9" t="n"/>
      <c r="O22" s="9" t="n"/>
      <c r="P22" s="9" t="n"/>
      <c r="Q22" s="9" t="n"/>
      <c r="R22" s="9" t="n"/>
    </row>
    <row r="23" ht="92" customHeight="1">
      <c r="A23" s="6" t="inlineStr">
        <is>
          <t>TC-LOGIN-022</t>
        </is>
      </c>
      <c r="B23" s="6" t="inlineStr">
        <is>
          <t>Login &amp; Authentication</t>
        </is>
      </c>
      <c r="C23" s="6" t="inlineStr">
        <is>
          <t>Biometric login toggle behaves correctly on a device without enrolled biometrics</t>
        </is>
      </c>
      <c r="D23" s="6" t="inlineStr">
        <is>
          <t>Negative</t>
        </is>
      </c>
      <c r="E23" s="11" t="inlineStr">
        <is>
          <t>P3</t>
        </is>
      </c>
      <c r="F23" s="6" t="inlineStr">
        <is>
          <t>Account</t>
        </is>
      </c>
      <c r="G23" s="6" t="inlineStr">
        <is>
          <t>Device has no fingerprint enrolled. User can reach the Biometrics screen from the menu.</t>
        </is>
      </c>
      <c r="H23" s="6" t="inlineStr">
        <is>
          <t>1. Open the menu and tap 'Biometrics'
2. Read the explanatory text on the screen
3. Attempt to enable the fingerprint login toggle
4. Read any resulting message</t>
        </is>
      </c>
      <c r="I23" s="6" t="inlineStr">
        <is>
          <t>The app explains that biometrics are unavailable or not enabled on this device, and does not enable the toggle. The message must be a well-formed sentence — a broken or ungrammatical error message here is a real, reportable copy defect.</t>
        </is>
      </c>
      <c r="J23" s="6" t="inlineStr">
        <is>
          <t>Error guessing / negative path</t>
        </is>
      </c>
      <c r="K23" s="6" t="inlineStr">
        <is>
          <t>R-04</t>
        </is>
      </c>
      <c r="L23" s="6" t="inlineStr">
        <is>
          <t>No</t>
        </is>
      </c>
      <c r="M23" s="8" t="inlineStr">
        <is>
          <t>Not Run</t>
        </is>
      </c>
      <c r="N23" s="9" t="n"/>
      <c r="O23" s="9" t="n"/>
      <c r="P23" s="9" t="n"/>
      <c r="Q23" s="9" t="n"/>
      <c r="R23" s="9" t="n"/>
    </row>
    <row r="24" ht="92" customHeight="1">
      <c r="A24" s="6" t="inlineStr">
        <is>
          <t>TC-CAT-001</t>
        </is>
      </c>
      <c r="B24" s="6" t="inlineStr">
        <is>
          <t>Catalog</t>
        </is>
      </c>
      <c r="C24" s="6" t="inlineStr">
        <is>
          <t>Catalog opens on launch and displays the product grid</t>
        </is>
      </c>
      <c r="D24" s="6" t="inlineStr">
        <is>
          <t>Smoke</t>
        </is>
      </c>
      <c r="E24" s="7" t="inlineStr">
        <is>
          <t>P1</t>
        </is>
      </c>
      <c r="F24" s="6" t="inlineStr">
        <is>
          <t>Discovery</t>
        </is>
      </c>
      <c r="G24" s="6" t="inlineStr">
        <is>
          <t>App freshly launched.</t>
        </is>
      </c>
      <c r="H24" s="6" t="inlineStr">
        <is>
          <t>1. Force-stop the app, then launch it from the icon
2. Observe the first screen
3. Confirm a product grid is visible</t>
        </is>
      </c>
      <c r="I24" s="6" t="inlineStr">
        <is>
          <t>The app opens on the Catalog (Products) screen without a crash. A grid of products is rendered. The header shows the app logo, the menu icon and the cart icon.</t>
        </is>
      </c>
      <c r="J24" s="6" t="inlineStr">
        <is>
          <t>Specification-based (use case)</t>
        </is>
      </c>
      <c r="K24" s="6" t="inlineStr">
        <is>
          <t>R-06</t>
        </is>
      </c>
      <c r="L24" s="6" t="inlineStr">
        <is>
          <t>Yes</t>
        </is>
      </c>
      <c r="M24" s="8" t="inlineStr">
        <is>
          <t>Not Run</t>
        </is>
      </c>
      <c r="N24" s="9" t="n"/>
      <c r="O24" s="9" t="n"/>
      <c r="P24" s="9" t="n"/>
      <c r="Q24" s="9" t="n"/>
      <c r="R24" s="9" t="n"/>
    </row>
    <row r="25" ht="92" customHeight="1">
      <c r="A25" s="6" t="inlineStr">
        <is>
          <t>TC-CAT-002</t>
        </is>
      </c>
      <c r="B25" s="6" t="inlineStr">
        <is>
          <t>Catalog</t>
        </is>
      </c>
      <c r="C25" s="6" t="inlineStr">
        <is>
          <t>Every product tile shows an image, a name and a price</t>
        </is>
      </c>
      <c r="D25" s="6" t="inlineStr">
        <is>
          <t>Smoke</t>
        </is>
      </c>
      <c r="E25" s="7" t="inlineStr">
        <is>
          <t>P1</t>
        </is>
      </c>
      <c r="F25" s="6" t="inlineStr">
        <is>
          <t>Discovery</t>
        </is>
      </c>
      <c r="G25" s="6" t="inlineStr">
        <is>
          <t>User is on the Catalog screen.</t>
        </is>
      </c>
      <c r="H25" s="6" t="inlineStr">
        <is>
          <t>1. Observe every product tile visible without scrolling
2. Scroll to the end of the catalogue
3. For each tile, check for an image, a product name and a price</t>
        </is>
      </c>
      <c r="I25" s="6" t="inlineStr">
        <is>
          <t>No tile has a missing or broken image, an empty name, or a missing price. No tile shows placeholder text such as 'null', 'undefined' or a raw resource identifier.</t>
        </is>
      </c>
      <c r="J25" s="6" t="inlineStr">
        <is>
          <t>Specification-based / exhaustive inspection</t>
        </is>
      </c>
      <c r="K25" s="6" t="inlineStr">
        <is>
          <t>R-06</t>
        </is>
      </c>
      <c r="L25" s="6" t="inlineStr">
        <is>
          <t>Yes</t>
        </is>
      </c>
      <c r="M25" s="8" t="inlineStr">
        <is>
          <t>Not Run</t>
        </is>
      </c>
      <c r="N25" s="9" t="n"/>
      <c r="O25" s="9" t="n"/>
      <c r="P25" s="9" t="n"/>
      <c r="Q25" s="9" t="n"/>
      <c r="R25" s="9" t="n"/>
    </row>
    <row r="26" ht="92" customHeight="1">
      <c r="A26" s="6" t="inlineStr">
        <is>
          <t>TC-CAT-003</t>
        </is>
      </c>
      <c r="B26" s="6" t="inlineStr">
        <is>
          <t>Catalog</t>
        </is>
      </c>
      <c r="C26" s="6" t="inlineStr">
        <is>
          <t>The catalogue contains a stable, repeatable number of products</t>
        </is>
      </c>
      <c r="D26" s="6" t="inlineStr">
        <is>
          <t>Functional</t>
        </is>
      </c>
      <c r="E26" s="10" t="inlineStr">
        <is>
          <t>P2</t>
        </is>
      </c>
      <c r="F26" s="6" t="inlineStr">
        <is>
          <t>Discovery</t>
        </is>
      </c>
      <c r="G26" s="6" t="inlineStr">
        <is>
          <t>User is on the Catalog screen.</t>
        </is>
      </c>
      <c r="H26" s="6" t="inlineStr">
        <is>
          <t>1. Scroll from the top to the very bottom, counting products
2. Record the total
3. Reset App State from the menu, return to Catalog and count again</t>
        </is>
      </c>
      <c r="I26" s="6" t="inlineStr">
        <is>
          <t>Both counts are identical. This app has a fixed local catalogue, so the count is a reliable oracle: any variation between runs indicates a rendering or data-loading defect rather than changing stock.</t>
        </is>
      </c>
      <c r="J26" s="6" t="inlineStr">
        <is>
          <t>Specification-based (fixed-data oracle)</t>
        </is>
      </c>
      <c r="K26" s="6" t="inlineStr">
        <is>
          <t>R-06</t>
        </is>
      </c>
      <c r="L26" s="6" t="inlineStr">
        <is>
          <t>Yes</t>
        </is>
      </c>
      <c r="M26" s="8" t="inlineStr">
        <is>
          <t>Not Run</t>
        </is>
      </c>
      <c r="N26" s="9" t="n"/>
      <c r="O26" s="9" t="n"/>
      <c r="P26" s="9" t="n"/>
      <c r="Q26" s="9" t="n"/>
      <c r="R26" s="9" t="n"/>
    </row>
    <row r="27" ht="92" customHeight="1">
      <c r="A27" s="6" t="inlineStr">
        <is>
          <t>TC-CAT-004</t>
        </is>
      </c>
      <c r="B27" s="6" t="inlineStr">
        <is>
          <t>Catalog</t>
        </is>
      </c>
      <c r="C27" s="6" t="inlineStr">
        <is>
          <t>Every product tile displays a star rating</t>
        </is>
      </c>
      <c r="D27" s="6" t="inlineStr">
        <is>
          <t>Functional</t>
        </is>
      </c>
      <c r="E27" s="10" t="inlineStr">
        <is>
          <t>P2</t>
        </is>
      </c>
      <c r="F27" s="6" t="inlineStr">
        <is>
          <t>Discovery</t>
        </is>
      </c>
      <c r="G27" s="6" t="inlineStr">
        <is>
          <t>User is on the Catalog screen.</t>
        </is>
      </c>
      <c r="H27" s="6" t="inlineStr">
        <is>
          <t>1. Observe the rating indicator on each visible tile
2. Confirm the number of filled stars is between 0 and 5
3. Scroll through the whole catalogue repeating the check</t>
        </is>
      </c>
      <c r="I27" s="6" t="inlineStr">
        <is>
          <t>Every tile shows a rating control. No rating shows more than five stars or a negative value. The rating is visually distinguishable from the price and the name.</t>
        </is>
      </c>
      <c r="J27" s="6" t="inlineStr">
        <is>
          <t>Specification-based / boundary awareness</t>
        </is>
      </c>
      <c r="K27" s="6" t="inlineStr">
        <is>
          <t>R-06</t>
        </is>
      </c>
      <c r="L27" s="6" t="inlineStr">
        <is>
          <t>No</t>
        </is>
      </c>
      <c r="M27" s="8" t="inlineStr">
        <is>
          <t>Not Run</t>
        </is>
      </c>
      <c r="N27" s="9" t="n"/>
      <c r="O27" s="9" t="n"/>
      <c r="P27" s="9" t="n"/>
      <c r="Q27" s="9" t="n"/>
      <c r="R27" s="9" t="n"/>
    </row>
    <row r="28" ht="92" customHeight="1">
      <c r="A28" s="6" t="inlineStr">
        <is>
          <t>TC-CAT-005</t>
        </is>
      </c>
      <c r="B28" s="6" t="inlineStr">
        <is>
          <t>Catalog</t>
        </is>
      </c>
      <c r="C28" s="6" t="inlineStr">
        <is>
          <t>Prices are displayed in a consistent currency format across the whole catalogue</t>
        </is>
      </c>
      <c r="D28" s="6" t="inlineStr">
        <is>
          <t>Functional</t>
        </is>
      </c>
      <c r="E28" s="7" t="inlineStr">
        <is>
          <t>P1</t>
        </is>
      </c>
      <c r="F28" s="6" t="inlineStr">
        <is>
          <t>Discovery</t>
        </is>
      </c>
      <c r="G28" s="6" t="inlineStr">
        <is>
          <t>User is on the Catalog screen.</t>
        </is>
      </c>
      <c r="H28" s="6" t="inlineStr">
        <is>
          <t>1. Record the exact price string of every product, including the currency symbol and its position
2. Compare the formats against each other</t>
        </is>
      </c>
      <c r="I28" s="6" t="inlineStr">
        <is>
          <t>Every price uses the same currency symbol in the same position with the same number of decimal places. A mix of formats (for example one price with two decimals and another with none) is an inconsistency defect.</t>
        </is>
      </c>
      <c r="J28" s="6" t="inlineStr">
        <is>
          <t>Static consistency oracle</t>
        </is>
      </c>
      <c r="K28" s="6" t="inlineStr">
        <is>
          <t>R-07</t>
        </is>
      </c>
      <c r="L28" s="6" t="inlineStr">
        <is>
          <t>Yes</t>
        </is>
      </c>
      <c r="M28" s="8" t="inlineStr">
        <is>
          <t>Not Run</t>
        </is>
      </c>
      <c r="N28" s="9" t="n"/>
      <c r="O28" s="9" t="n"/>
      <c r="P28" s="9" t="n"/>
      <c r="Q28" s="9" t="n"/>
      <c r="R28" s="9" t="n"/>
    </row>
    <row r="29" ht="92" customHeight="1">
      <c r="A29" s="6" t="inlineStr">
        <is>
          <t>TC-CAT-006</t>
        </is>
      </c>
      <c r="B29" s="6" t="inlineStr">
        <is>
          <t>Catalog</t>
        </is>
      </c>
      <c r="C29" s="6" t="inlineStr">
        <is>
          <t>Tapping a product tile opens the matching product detail page</t>
        </is>
      </c>
      <c r="D29" s="6" t="inlineStr">
        <is>
          <t>Smoke</t>
        </is>
      </c>
      <c r="E29" s="7" t="inlineStr">
        <is>
          <t>P1</t>
        </is>
      </c>
      <c r="F29" s="6" t="inlineStr">
        <is>
          <t>Discovery</t>
        </is>
      </c>
      <c r="G29" s="6" t="inlineStr">
        <is>
          <t>User is on the Catalog screen.</t>
        </is>
      </c>
      <c r="H29" s="6" t="inlineStr">
        <is>
          <t>1. Note the exact name, price and image of the third product tile
2. Tap that tile
3. Compare the product detail page against what you noted</t>
        </is>
      </c>
      <c r="I29" s="6" t="inlineStr">
        <is>
          <t>The detail page shows the same product: identical name, identical price, and an image matching the tile. Opening the third tile must not open the first product — an index-off-by-one is a classic list defect.</t>
        </is>
      </c>
      <c r="J29" s="6" t="inlineStr">
        <is>
          <t>Specification-based (use case)</t>
        </is>
      </c>
      <c r="K29" s="6" t="inlineStr">
        <is>
          <t>R-08</t>
        </is>
      </c>
      <c r="L29" s="6" t="inlineStr">
        <is>
          <t>Yes</t>
        </is>
      </c>
      <c r="M29" s="8" t="inlineStr">
        <is>
          <t>Not Run</t>
        </is>
      </c>
      <c r="N29" s="9" t="n"/>
      <c r="O29" s="9" t="n"/>
      <c r="P29" s="9" t="n"/>
      <c r="Q29" s="9" t="n"/>
      <c r="R29" s="9" t="n"/>
    </row>
    <row r="30" ht="92" customHeight="1">
      <c r="A30" s="6" t="inlineStr">
        <is>
          <t>TC-CAT-007</t>
        </is>
      </c>
      <c r="B30" s="6" t="inlineStr">
        <is>
          <t>Catalog</t>
        </is>
      </c>
      <c r="C30" s="6" t="inlineStr">
        <is>
          <t>Catalogue scrolling is smooth and images do not repeatedly reload</t>
        </is>
      </c>
      <c r="D30" s="6" t="inlineStr">
        <is>
          <t>Performance</t>
        </is>
      </c>
      <c r="E30" s="10" t="inlineStr">
        <is>
          <t>P2</t>
        </is>
      </c>
      <c r="F30" s="6" t="inlineStr">
        <is>
          <t>Discovery</t>
        </is>
      </c>
      <c r="G30" s="6" t="inlineStr">
        <is>
          <t>User is on the Catalog screen.</t>
        </is>
      </c>
      <c r="H30" s="6" t="inlineStr">
        <is>
          <t>1. Scroll from the top of the catalogue to the bottom at a steady pace
2. Scroll back to the top
3. Watch for stutter, blank tiles, and images that reload after having already loaded</t>
        </is>
      </c>
      <c r="I30" s="6" t="inlineStr">
        <is>
          <t>Scrolling is visually smooth with no freeze longer than a fraction of a second. Images that have already loaded stay loaded when scrolled back into view, which indicates the list is caching them rather than re-fetching.</t>
        </is>
      </c>
      <c r="J30" s="6" t="inlineStr">
        <is>
          <t>Non-functional observation</t>
        </is>
      </c>
      <c r="K30" s="6" t="inlineStr">
        <is>
          <t>R-09</t>
        </is>
      </c>
      <c r="L30" s="6" t="inlineStr">
        <is>
          <t>No</t>
        </is>
      </c>
      <c r="M30" s="8" t="inlineStr">
        <is>
          <t>Not Run</t>
        </is>
      </c>
      <c r="N30" s="9" t="n"/>
      <c r="O30" s="9" t="n"/>
      <c r="P30" s="9" t="n"/>
      <c r="Q30" s="9" t="n"/>
      <c r="R30" s="9" t="n"/>
    </row>
    <row r="31" ht="92" customHeight="1">
      <c r="A31" s="6" t="inlineStr">
        <is>
          <t>TC-CAT-008</t>
        </is>
      </c>
      <c r="B31" s="6" t="inlineStr">
        <is>
          <t>Catalog</t>
        </is>
      </c>
      <c r="C31" s="6" t="inlineStr">
        <is>
          <t>Scroll position is preserved when returning from a product detail page</t>
        </is>
      </c>
      <c r="D31" s="6" t="inlineStr">
        <is>
          <t>Functional</t>
        </is>
      </c>
      <c r="E31" s="10" t="inlineStr">
        <is>
          <t>P2</t>
        </is>
      </c>
      <c r="F31" s="6" t="inlineStr">
        <is>
          <t>Discovery</t>
        </is>
      </c>
      <c r="G31" s="6" t="inlineStr">
        <is>
          <t>User is on the Catalog screen.</t>
        </is>
      </c>
      <c r="H31" s="6" t="inlineStr">
        <is>
          <t>1. Scroll down to the last product in the catalogue
2. Tap it to open the detail page
3. Press the system back button
4. Observe the scroll position</t>
        </is>
      </c>
      <c r="I31" s="6" t="inlineStr">
        <is>
          <t>The catalogue is restored at the same scroll position with the same product visible. Being thrown back to the top of the list forces the user to redo their browsing and is a real usability defect.</t>
        </is>
      </c>
      <c r="J31" s="6" t="inlineStr">
        <is>
          <t>State transition testing</t>
        </is>
      </c>
      <c r="K31" s="6" t="inlineStr">
        <is>
          <t>R-10</t>
        </is>
      </c>
      <c r="L31" s="6" t="inlineStr">
        <is>
          <t>Yes</t>
        </is>
      </c>
      <c r="M31" s="8" t="inlineStr">
        <is>
          <t>Not Run</t>
        </is>
      </c>
      <c r="N31" s="9" t="n"/>
      <c r="O31" s="9" t="n"/>
      <c r="P31" s="9" t="n"/>
      <c r="Q31" s="9" t="n"/>
      <c r="R31" s="9" t="n"/>
    </row>
    <row r="32" ht="92" customHeight="1">
      <c r="A32" s="6" t="inlineStr">
        <is>
          <t>TC-CAT-009</t>
        </is>
      </c>
      <c r="B32" s="6" t="inlineStr">
        <is>
          <t>Catalog</t>
        </is>
      </c>
      <c r="C32" s="6" t="inlineStr">
        <is>
          <t>Cart badge on the Catalog header reflects the true cart contents</t>
        </is>
      </c>
      <c r="D32" s="6" t="inlineStr">
        <is>
          <t>Functional</t>
        </is>
      </c>
      <c r="E32" s="7" t="inlineStr">
        <is>
          <t>P1</t>
        </is>
      </c>
      <c r="F32" s="6" t="inlineStr">
        <is>
          <t>Discovery</t>
        </is>
      </c>
      <c r="G32" s="6" t="inlineStr">
        <is>
          <t>Cart is empty. User is on the Catalog screen.</t>
        </is>
      </c>
      <c r="H32" s="6" t="inlineStr">
        <is>
          <t>1. Note the cart badge with an empty cart
2. Open a product, add one item to the cart, press back
3. Observe the badge
4. Add a second, different product and observe the badge again</t>
        </is>
      </c>
      <c r="I32" s="6" t="inlineStr">
        <is>
          <t>The badge starts empty or at zero, shows 1 after the first add, and 2 after the second. The number always equals the quantity actually in the cart.</t>
        </is>
      </c>
      <c r="J32" s="6" t="inlineStr">
        <is>
          <t>State transition testing</t>
        </is>
      </c>
      <c r="K32" s="6" t="inlineStr">
        <is>
          <t>R-11</t>
        </is>
      </c>
      <c r="L32" s="6" t="inlineStr">
        <is>
          <t>Yes</t>
        </is>
      </c>
      <c r="M32" s="8" t="inlineStr">
        <is>
          <t>Not Run</t>
        </is>
      </c>
      <c r="N32" s="9" t="n"/>
      <c r="O32" s="9" t="n"/>
      <c r="P32" s="9" t="n"/>
      <c r="Q32" s="9" t="n"/>
      <c r="R32" s="9" t="n"/>
    </row>
    <row r="33" ht="92" customHeight="1">
      <c r="A33" s="6" t="inlineStr">
        <is>
          <t>TC-CAT-010</t>
        </is>
      </c>
      <c r="B33" s="6" t="inlineStr">
        <is>
          <t>Catalog</t>
        </is>
      </c>
      <c r="C33" s="6" t="inlineStr">
        <is>
          <t>Catalogue renders correctly in landscape orientation</t>
        </is>
      </c>
      <c r="D33" s="6" t="inlineStr">
        <is>
          <t>Compatibility</t>
        </is>
      </c>
      <c r="E33" s="10" t="inlineStr">
        <is>
          <t>P2</t>
        </is>
      </c>
      <c r="F33" s="6" t="inlineStr">
        <is>
          <t>Discovery</t>
        </is>
      </c>
      <c r="G33" s="6" t="inlineStr">
        <is>
          <t>Device auto-rotate is enabled. User is on the Catalog screen.</t>
        </is>
      </c>
      <c r="H33" s="6" t="inlineStr">
        <is>
          <t>1. Note the number of grid columns in portrait
2. Rotate the device to landscape
3. Observe the layout, column count, and whether the scroll position is kept
4. Rotate back to portrait</t>
        </is>
      </c>
      <c r="I33" s="6" t="inlineStr">
        <is>
          <t>The grid reflows to use the wider screen. No content is cut off, no text overlaps, prices remain fully readable, and the scroll position is approximately preserved through both rotations. The app does not crash or restart.</t>
        </is>
      </c>
      <c r="J33" s="6" t="inlineStr">
        <is>
          <t>Compatibility / configuration change</t>
        </is>
      </c>
      <c r="K33" s="6" t="inlineStr">
        <is>
          <t>R-12</t>
        </is>
      </c>
      <c r="L33" s="6" t="inlineStr">
        <is>
          <t>No</t>
        </is>
      </c>
      <c r="M33" s="8" t="inlineStr">
        <is>
          <t>Not Run</t>
        </is>
      </c>
      <c r="N33" s="9" t="n"/>
      <c r="O33" s="9" t="n"/>
      <c r="P33" s="9" t="n"/>
      <c r="Q33" s="9" t="n"/>
      <c r="R33" s="9" t="n"/>
    </row>
    <row r="34" ht="92" customHeight="1">
      <c r="A34" s="6" t="inlineStr">
        <is>
          <t>TC-CAT-011</t>
        </is>
      </c>
      <c r="B34" s="6" t="inlineStr">
        <is>
          <t>Catalog</t>
        </is>
      </c>
      <c r="C34" s="6" t="inlineStr">
        <is>
          <t>Catalogue remains usable at maximum system font and display size</t>
        </is>
      </c>
      <c r="D34" s="6" t="inlineStr">
        <is>
          <t>Accessibility</t>
        </is>
      </c>
      <c r="E34" s="10" t="inlineStr">
        <is>
          <t>P2</t>
        </is>
      </c>
      <c r="F34" s="6" t="inlineStr">
        <is>
          <t>Discovery</t>
        </is>
      </c>
      <c r="G34" s="6" t="inlineStr">
        <is>
          <t>Android Settings: Font size and Display size both set to the largest option.</t>
        </is>
      </c>
      <c r="H34" s="6" t="inlineStr">
        <is>
          <t>1. Set font size and display size to maximum in Android accessibility settings
2. Open the app and go to Catalog
3. Inspect every tile for truncated names, truncated prices and overlapping elements
4. Confirm every tile is still tappable</t>
        </is>
      </c>
      <c r="I34" s="6" t="inlineStr">
        <is>
          <t>Product names may wrap or ellipsize, but prices and ratings must remain fully readable — a truncated price is a commercial defect, not a cosmetic one. No element overlaps another. Every tile remains tappable.</t>
        </is>
      </c>
      <c r="J34" s="6" t="inlineStr">
        <is>
          <t>Accessibility (WCAG 1.4.4 Resize Text)</t>
        </is>
      </c>
      <c r="K34" s="6" t="inlineStr">
        <is>
          <t>R-13</t>
        </is>
      </c>
      <c r="L34" s="6" t="inlineStr">
        <is>
          <t>No</t>
        </is>
      </c>
      <c r="M34" s="8" t="inlineStr">
        <is>
          <t>Not Run</t>
        </is>
      </c>
      <c r="N34" s="9" t="n"/>
      <c r="O34" s="9" t="n"/>
      <c r="P34" s="9" t="n"/>
      <c r="Q34" s="9" t="n"/>
      <c r="R34" s="9" t="n"/>
    </row>
    <row r="35" ht="92" customHeight="1">
      <c r="A35" s="6" t="inlineStr">
        <is>
          <t>TC-CAT-012</t>
        </is>
      </c>
      <c r="B35" s="6" t="inlineStr">
        <is>
          <t>Catalog</t>
        </is>
      </c>
      <c r="C35" s="6" t="inlineStr">
        <is>
          <t>Screen reader announces every product tile meaningfully</t>
        </is>
      </c>
      <c r="D35" s="6" t="inlineStr">
        <is>
          <t>Accessibility</t>
        </is>
      </c>
      <c r="E35" s="10" t="inlineStr">
        <is>
          <t>P2</t>
        </is>
      </c>
      <c r="F35" s="6" t="inlineStr">
        <is>
          <t>Discovery</t>
        </is>
      </c>
      <c r="G35" s="6" t="inlineStr">
        <is>
          <t>TalkBack enabled. User is on the Catalog screen.</t>
        </is>
      </c>
      <c r="H35" s="6" t="inlineStr">
        <is>
          <t>1. Enable TalkBack in Android accessibility settings
2. Swipe right repeatedly to traverse the Catalog screen
3. Note what is announced for each tile, the menu icon and the cart icon
4. Note any element that is skipped or announced only as 'button' or 'image'</t>
        </is>
      </c>
      <c r="I35" s="6" t="inlineStr">
        <is>
          <t>Every interactive element receives focus and is announced with a meaningful label. Product images are described rather than announced as bare 'image'. The cart icon announces its purpose and its item count. Focus order follows the visual order.</t>
        </is>
      </c>
      <c r="J35" s="6" t="inlineStr">
        <is>
          <t>Accessibility (WCAG 1.1.1, 4.1.2)</t>
        </is>
      </c>
      <c r="K35" s="6" t="inlineStr">
        <is>
          <t>R-13</t>
        </is>
      </c>
      <c r="L35" s="6" t="inlineStr">
        <is>
          <t>No</t>
        </is>
      </c>
      <c r="M35" s="8" t="inlineStr">
        <is>
          <t>Not Run</t>
        </is>
      </c>
      <c r="N35" s="9" t="n"/>
      <c r="O35" s="9" t="n"/>
      <c r="P35" s="9" t="n"/>
      <c r="Q35" s="9" t="n"/>
      <c r="R35" s="9" t="n"/>
    </row>
    <row r="36" ht="92" customHeight="1">
      <c r="A36" s="6" t="inlineStr">
        <is>
          <t>TC-CAT-013</t>
        </is>
      </c>
      <c r="B36" s="6" t="inlineStr">
        <is>
          <t>Catalog</t>
        </is>
      </c>
      <c r="C36" s="6" t="inlineStr">
        <is>
          <t>Catalogue loads without a network connection</t>
        </is>
      </c>
      <c r="D36" s="6" t="inlineStr">
        <is>
          <t>Destructive</t>
        </is>
      </c>
      <c r="E36" s="10" t="inlineStr">
        <is>
          <t>P2</t>
        </is>
      </c>
      <c r="F36" s="6" t="inlineStr">
        <is>
          <t>Discovery</t>
        </is>
      </c>
      <c r="G36" s="6" t="inlineStr">
        <is>
          <t>Airplane mode can be toggled on the device.</t>
        </is>
      </c>
      <c r="H36" s="6" t="inlineStr">
        <is>
          <t>1. Enable airplane mode
2. Force-stop the app and relaunch it
3. Observe the Catalog screen for up to 30 seconds
4. Disable airplane mode and pull to refresh if available</t>
        </is>
      </c>
      <c r="I36" s="6" t="inlineStr">
        <is>
          <t>Record the actual behaviour precisely. If the catalogue is bundled locally it should render fully offline. If it comes from the network, an error with a retry option must appear — never a permanent spinner or a blank grid with no explanation.</t>
        </is>
      </c>
      <c r="J36" s="6" t="inlineStr">
        <is>
          <t>Destructive (resource removal)</t>
        </is>
      </c>
      <c r="K36" s="6" t="inlineStr">
        <is>
          <t>R-14</t>
        </is>
      </c>
      <c r="L36" s="6" t="inlineStr">
        <is>
          <t>No</t>
        </is>
      </c>
      <c r="M36" s="8" t="inlineStr">
        <is>
          <t>Not Run</t>
        </is>
      </c>
      <c r="N36" s="9" t="n"/>
      <c r="O36" s="9" t="n"/>
      <c r="P36" s="9" t="n"/>
      <c r="Q36" s="9" t="n"/>
      <c r="R36" s="9" t="n"/>
    </row>
    <row r="37" ht="92" customHeight="1">
      <c r="A37" s="6" t="inlineStr">
        <is>
          <t>TC-CAT-014</t>
        </is>
      </c>
      <c r="B37" s="6" t="inlineStr">
        <is>
          <t>Catalog</t>
        </is>
      </c>
      <c r="C37" s="6" t="inlineStr">
        <is>
          <t>Rapid repeated taps on a product tile open exactly one detail page</t>
        </is>
      </c>
      <c r="D37" s="6" t="inlineStr">
        <is>
          <t>Destructive</t>
        </is>
      </c>
      <c r="E37" s="10" t="inlineStr">
        <is>
          <t>P2</t>
        </is>
      </c>
      <c r="F37" s="6" t="inlineStr">
        <is>
          <t>Discovery</t>
        </is>
      </c>
      <c r="G37" s="6" t="inlineStr">
        <is>
          <t>User is on the Catalog screen.</t>
        </is>
      </c>
      <c r="H37" s="6" t="inlineStr">
        <is>
          <t>1. Tap a single product tile ten times in under two seconds
2. Observe the resulting screen
3. Press the system back button once and observe where you land</t>
        </is>
      </c>
      <c r="I37" s="6" t="inlineStr">
        <is>
          <t>Exactly one detail page opens. A single back press returns to the Catalog. If several stacked copies of the detail page opened, back would need to be pressed repeatedly — that is a navigation defect caused by an unguarded click handler.</t>
        </is>
      </c>
      <c r="J37" s="6" t="inlineStr">
        <is>
          <t>Destructive (rapid repeated input)</t>
        </is>
      </c>
      <c r="K37" s="6" t="inlineStr">
        <is>
          <t>R-15</t>
        </is>
      </c>
      <c r="L37" s="6" t="inlineStr">
        <is>
          <t>No</t>
        </is>
      </c>
      <c r="M37" s="8" t="inlineStr">
        <is>
          <t>Not Run</t>
        </is>
      </c>
      <c r="N37" s="9" t="n"/>
      <c r="O37" s="9" t="n"/>
      <c r="P37" s="9" t="n"/>
      <c r="Q37" s="9" t="n"/>
      <c r="R37" s="9" t="n"/>
    </row>
    <row r="38" ht="92" customHeight="1">
      <c r="A38" s="6" t="inlineStr">
        <is>
          <t>TC-SORT-001</t>
        </is>
      </c>
      <c r="B38" s="6" t="inlineStr">
        <is>
          <t>Sorting</t>
        </is>
      </c>
      <c r="C38" s="6" t="inlineStr">
        <is>
          <t>Sort control opens and lists all four sort options</t>
        </is>
      </c>
      <c r="D38" s="6" t="inlineStr">
        <is>
          <t>Smoke</t>
        </is>
      </c>
      <c r="E38" s="7" t="inlineStr">
        <is>
          <t>P1</t>
        </is>
      </c>
      <c r="F38" s="6" t="inlineStr">
        <is>
          <t>Discovery</t>
        </is>
      </c>
      <c r="G38" s="6" t="inlineStr">
        <is>
          <t>User is on the Catalog screen.</t>
        </is>
      </c>
      <c r="H38" s="6" t="inlineStr">
        <is>
          <t>1. Tap the sort control in the header
2. Observe the options presented
3. Note which option is currently indicated as selected</t>
        </is>
      </c>
      <c r="I38" s="6" t="inlineStr">
        <is>
          <t>Four options are listed: name ascending, name descending, price ascending and price descending. The currently active option is visually indicated so the user knows the present state.</t>
        </is>
      </c>
      <c r="J38" s="6" t="inlineStr">
        <is>
          <t>Specification-based (use case)</t>
        </is>
      </c>
      <c r="K38" s="6" t="inlineStr">
        <is>
          <t>R-16</t>
        </is>
      </c>
      <c r="L38" s="6" t="inlineStr">
        <is>
          <t>Yes</t>
        </is>
      </c>
      <c r="M38" s="8" t="inlineStr">
        <is>
          <t>Not Run</t>
        </is>
      </c>
      <c r="N38" s="9" t="n"/>
      <c r="O38" s="9" t="n"/>
      <c r="P38" s="9" t="n"/>
      <c r="Q38" s="9" t="n"/>
      <c r="R38" s="9" t="n"/>
    </row>
    <row r="39" ht="92" customHeight="1">
      <c r="A39" s="6" t="inlineStr">
        <is>
          <t>TC-SORT-002</t>
        </is>
      </c>
      <c r="B39" s="6" t="inlineStr">
        <is>
          <t>Sorting</t>
        </is>
      </c>
      <c r="C39" s="6" t="inlineStr">
        <is>
          <t>Sort by name ascending orders the catalogue A to Z</t>
        </is>
      </c>
      <c r="D39" s="6" t="inlineStr">
        <is>
          <t>Functional</t>
        </is>
      </c>
      <c r="E39" s="7" t="inlineStr">
        <is>
          <t>P1</t>
        </is>
      </c>
      <c r="F39" s="6" t="inlineStr">
        <is>
          <t>Discovery</t>
        </is>
      </c>
      <c r="G39" s="6" t="inlineStr">
        <is>
          <t>User is on the Catalog screen.</t>
        </is>
      </c>
      <c r="H39" s="6" t="inlineStr">
        <is>
          <t>1. Select the name-ascending sort option
2. Record every product name from top to bottom in display order
3. Compare each consecutive pair alphabetically</t>
        </is>
      </c>
      <c r="I39" s="6" t="inlineStr">
        <is>
          <t>No product name sorts alphabetically before the name above it. The comparison is case-insensitive: mixed-case names must not cluster all uppercase entries before all lowercase ones, which would indicate a raw byte-order sort rather than a locale-aware one.</t>
        </is>
      </c>
      <c r="J39" s="6" t="inlineStr">
        <is>
          <t>Ordering invariant</t>
        </is>
      </c>
      <c r="K39" s="6" t="inlineStr">
        <is>
          <t>R-16</t>
        </is>
      </c>
      <c r="L39" s="6" t="inlineStr">
        <is>
          <t>Yes</t>
        </is>
      </c>
      <c r="M39" s="8" t="inlineStr">
        <is>
          <t>Not Run</t>
        </is>
      </c>
      <c r="N39" s="9" t="n"/>
      <c r="O39" s="9" t="n"/>
      <c r="P39" s="9" t="n"/>
      <c r="Q39" s="9" t="n"/>
      <c r="R39" s="9" t="n"/>
    </row>
    <row r="40" ht="92" customHeight="1">
      <c r="A40" s="6" t="inlineStr">
        <is>
          <t>TC-SORT-003</t>
        </is>
      </c>
      <c r="B40" s="6" t="inlineStr">
        <is>
          <t>Sorting</t>
        </is>
      </c>
      <c r="C40" s="6" t="inlineStr">
        <is>
          <t>Sort by name descending orders the catalogue Z to A</t>
        </is>
      </c>
      <c r="D40" s="6" t="inlineStr">
        <is>
          <t>Functional</t>
        </is>
      </c>
      <c r="E40" s="10" t="inlineStr">
        <is>
          <t>P2</t>
        </is>
      </c>
      <c r="F40" s="6" t="inlineStr">
        <is>
          <t>Discovery</t>
        </is>
      </c>
      <c r="G40" s="6" t="inlineStr">
        <is>
          <t>User is on the Catalog screen.</t>
        </is>
      </c>
      <c r="H40" s="6" t="inlineStr">
        <is>
          <t>1. Select the name-descending sort option
2. Record every product name in display order
3. Compare each consecutive pair</t>
        </is>
      </c>
      <c r="I40" s="6" t="inlineStr">
        <is>
          <t>The sequence is the exact reverse of the name-ascending sequence. If the two lists are not mirror images of each other, one of the two sorts is wrong.</t>
        </is>
      </c>
      <c r="J40" s="6" t="inlineStr">
        <is>
          <t>Ordering invariant (symmetry oracle)</t>
        </is>
      </c>
      <c r="K40" s="6" t="inlineStr">
        <is>
          <t>R-16</t>
        </is>
      </c>
      <c r="L40" s="6" t="inlineStr">
        <is>
          <t>Yes</t>
        </is>
      </c>
      <c r="M40" s="8" t="inlineStr">
        <is>
          <t>Not Run</t>
        </is>
      </c>
      <c r="N40" s="9" t="n"/>
      <c r="O40" s="9" t="n"/>
      <c r="P40" s="9" t="n"/>
      <c r="Q40" s="9" t="n"/>
      <c r="R40" s="9" t="n"/>
    </row>
    <row r="41" ht="92" customHeight="1">
      <c r="A41" s="6" t="inlineStr">
        <is>
          <t>TC-SORT-004</t>
        </is>
      </c>
      <c r="B41" s="6" t="inlineStr">
        <is>
          <t>Sorting</t>
        </is>
      </c>
      <c r="C41" s="6" t="inlineStr">
        <is>
          <t>Sort by price ascending never steps down in price</t>
        </is>
      </c>
      <c r="D41" s="6" t="inlineStr">
        <is>
          <t>Functional</t>
        </is>
      </c>
      <c r="E41" s="7" t="inlineStr">
        <is>
          <t>P1</t>
        </is>
      </c>
      <c r="F41" s="6" t="inlineStr">
        <is>
          <t>Discovery</t>
        </is>
      </c>
      <c r="G41" s="6" t="inlineStr">
        <is>
          <t>User is on the Catalog screen.</t>
        </is>
      </c>
      <c r="H41" s="6" t="inlineStr">
        <is>
          <t>1. Select the price-ascending sort option
2. Record every product price in display order
3. Check every consecutive pair for a decrease</t>
        </is>
      </c>
      <c r="I41" s="6" t="inlineStr">
        <is>
          <t>No price is lower than the price above it. Equal adjacent prices are acceptable. A single downward step anywhere in the list, including at a scroll boundary, is a failure.</t>
        </is>
      </c>
      <c r="J41" s="6" t="inlineStr">
        <is>
          <t>Ordering invariant</t>
        </is>
      </c>
      <c r="K41" s="6" t="inlineStr">
        <is>
          <t>R-16</t>
        </is>
      </c>
      <c r="L41" s="6" t="inlineStr">
        <is>
          <t>Yes</t>
        </is>
      </c>
      <c r="M41" s="8" t="inlineStr">
        <is>
          <t>Not Run</t>
        </is>
      </c>
      <c r="N41" s="9" t="n"/>
      <c r="O41" s="9" t="n"/>
      <c r="P41" s="9" t="n"/>
      <c r="Q41" s="9" t="n"/>
      <c r="R41" s="9" t="n"/>
    </row>
    <row r="42" ht="92" customHeight="1">
      <c r="A42" s="6" t="inlineStr">
        <is>
          <t>TC-SORT-005</t>
        </is>
      </c>
      <c r="B42" s="6" t="inlineStr">
        <is>
          <t>Sorting</t>
        </is>
      </c>
      <c r="C42" s="6" t="inlineStr">
        <is>
          <t>Sort by price descending never steps up in price</t>
        </is>
      </c>
      <c r="D42" s="6" t="inlineStr">
        <is>
          <t>Functional</t>
        </is>
      </c>
      <c r="E42" s="10" t="inlineStr">
        <is>
          <t>P2</t>
        </is>
      </c>
      <c r="F42" s="6" t="inlineStr">
        <is>
          <t>Discovery</t>
        </is>
      </c>
      <c r="G42" s="6" t="inlineStr">
        <is>
          <t>User is on the Catalog screen.</t>
        </is>
      </c>
      <c r="H42" s="6" t="inlineStr">
        <is>
          <t>1. Select the price-descending sort option
2. Record every product price in display order
3. Check every consecutive pair for an increase</t>
        </is>
      </c>
      <c r="I42" s="6" t="inlineStr">
        <is>
          <t>No price is higher than the price above it. The sequence is the exact reverse of the price-ascending sequence.</t>
        </is>
      </c>
      <c r="J42" s="6" t="inlineStr">
        <is>
          <t>Ordering invariant (symmetry oracle)</t>
        </is>
      </c>
      <c r="K42" s="6" t="inlineStr">
        <is>
          <t>R-16</t>
        </is>
      </c>
      <c r="L42" s="6" t="inlineStr">
        <is>
          <t>Yes</t>
        </is>
      </c>
      <c r="M42" s="8" t="inlineStr">
        <is>
          <t>Not Run</t>
        </is>
      </c>
      <c r="N42" s="9" t="n"/>
      <c r="O42" s="9" t="n"/>
      <c r="P42" s="9" t="n"/>
      <c r="Q42" s="9" t="n"/>
      <c r="R42" s="9" t="n"/>
    </row>
    <row r="43" ht="92" customHeight="1">
      <c r="A43" s="6" t="inlineStr">
        <is>
          <t>TC-SORT-006</t>
        </is>
      </c>
      <c r="B43" s="6" t="inlineStr">
        <is>
          <t>Sorting</t>
        </is>
      </c>
      <c r="C43" s="6" t="inlineStr">
        <is>
          <t>Sorting changes only the order, never the set of products</t>
        </is>
      </c>
      <c r="D43" s="6" t="inlineStr">
        <is>
          <t>Functional</t>
        </is>
      </c>
      <c r="E43" s="7" t="inlineStr">
        <is>
          <t>P1</t>
        </is>
      </c>
      <c r="F43" s="6" t="inlineStr">
        <is>
          <t>Discovery</t>
        </is>
      </c>
      <c r="G43" s="6" t="inlineStr">
        <is>
          <t>User is on the Catalog screen.</t>
        </is>
      </c>
      <c r="H43" s="6" t="inlineStr">
        <is>
          <t>1. With the default sort, record the complete set of product names and the total count
2. Apply each of the four sort options in turn
3. After each, record the complete set of names and the count</t>
        </is>
      </c>
      <c r="I43" s="6" t="inlineStr">
        <is>
          <t>All four sorted lists contain exactly the same products and the same total count as the unsorted list. Sorting must never add, drop or duplicate a product. This is the single most valuable sort assertion because it catches data-loss defects that an ordering check alone would miss.</t>
        </is>
      </c>
      <c r="J43" s="6" t="inlineStr">
        <is>
          <t>Set-equality invariant</t>
        </is>
      </c>
      <c r="K43" s="6" t="inlineStr">
        <is>
          <t>R-16</t>
        </is>
      </c>
      <c r="L43" s="6" t="inlineStr">
        <is>
          <t>Yes</t>
        </is>
      </c>
      <c r="M43" s="8" t="inlineStr">
        <is>
          <t>Not Run</t>
        </is>
      </c>
      <c r="N43" s="9" t="n"/>
      <c r="O43" s="9" t="n"/>
      <c r="P43" s="9" t="n"/>
      <c r="Q43" s="9" t="n"/>
      <c r="R43" s="9" t="n"/>
    </row>
    <row r="44" ht="92" customHeight="1">
      <c r="A44" s="6" t="inlineStr">
        <is>
          <t>TC-SORT-007</t>
        </is>
      </c>
      <c r="B44" s="6" t="inlineStr">
        <is>
          <t>Sorting</t>
        </is>
      </c>
      <c r="C44" s="6" t="inlineStr">
        <is>
          <t>The selected sort option persists when returning from a product detail page</t>
        </is>
      </c>
      <c r="D44" s="6" t="inlineStr">
        <is>
          <t>Functional</t>
        </is>
      </c>
      <c r="E44" s="10" t="inlineStr">
        <is>
          <t>P2</t>
        </is>
      </c>
      <c r="F44" s="6" t="inlineStr">
        <is>
          <t>Discovery</t>
        </is>
      </c>
      <c r="G44" s="6" t="inlineStr">
        <is>
          <t>User is on the Catalog screen with price ascending applied.</t>
        </is>
      </c>
      <c r="H44" s="6" t="inlineStr">
        <is>
          <t>1. Apply the price-ascending sort and confirm the order
2. Open any product detail page
3. Press the system back button
4. Observe the sort indicator and the product order</t>
        </is>
      </c>
      <c r="I44" s="6" t="inlineStr">
        <is>
          <t>The sort indicator still shows price ascending and the products are still in ascending price order. Silently reverting to the default sort makes the user redo their work.</t>
        </is>
      </c>
      <c r="J44" s="6" t="inlineStr">
        <is>
          <t>State transition testing</t>
        </is>
      </c>
      <c r="K44" s="6" t="inlineStr">
        <is>
          <t>R-10</t>
        </is>
      </c>
      <c r="L44" s="6" t="inlineStr">
        <is>
          <t>Yes</t>
        </is>
      </c>
      <c r="M44" s="8" t="inlineStr">
        <is>
          <t>Not Run</t>
        </is>
      </c>
      <c r="N44" s="9" t="n"/>
      <c r="O44" s="9" t="n"/>
      <c r="P44" s="9" t="n"/>
      <c r="Q44" s="9" t="n"/>
      <c r="R44" s="9" t="n"/>
    </row>
    <row r="45" ht="92" customHeight="1">
      <c r="A45" s="6" t="inlineStr">
        <is>
          <t>TC-SORT-008</t>
        </is>
      </c>
      <c r="B45" s="6" t="inlineStr">
        <is>
          <t>Sorting</t>
        </is>
      </c>
      <c r="C45" s="6" t="inlineStr">
        <is>
          <t>Applying the same sort option twice does not reverse or corrupt the order</t>
        </is>
      </c>
      <c r="D45" s="6" t="inlineStr">
        <is>
          <t>Negative</t>
        </is>
      </c>
      <c r="E45" s="11" t="inlineStr">
        <is>
          <t>P3</t>
        </is>
      </c>
      <c r="F45" s="6" t="inlineStr">
        <is>
          <t>Discovery</t>
        </is>
      </c>
      <c r="G45" s="6" t="inlineStr">
        <is>
          <t>User is on the Catalog screen.</t>
        </is>
      </c>
      <c r="H45" s="6" t="inlineStr">
        <is>
          <t>1. Apply price ascending and record the order
2. Open the sort control and select price ascending again
3. Record the order and compare</t>
        </is>
      </c>
      <c r="I45" s="6" t="inlineStr">
        <is>
          <t>The order is unchanged. Selecting an already-active sort is idempotent and must not toggle the direction, since nothing in the UI tells the user it would.</t>
        </is>
      </c>
      <c r="J45" s="6" t="inlineStr">
        <is>
          <t>Idempotence check</t>
        </is>
      </c>
      <c r="K45" s="6" t="inlineStr">
        <is>
          <t>R-16</t>
        </is>
      </c>
      <c r="L45" s="6" t="inlineStr">
        <is>
          <t>Yes</t>
        </is>
      </c>
      <c r="M45" s="8" t="inlineStr">
        <is>
          <t>Not Run</t>
        </is>
      </c>
      <c r="N45" s="9" t="n"/>
      <c r="O45" s="9" t="n"/>
      <c r="P45" s="9" t="n"/>
      <c r="Q45" s="9" t="n"/>
      <c r="R45" s="9" t="n"/>
    </row>
    <row r="46" ht="92" customHeight="1">
      <c r="A46" s="6" t="inlineStr">
        <is>
          <t>TC-SORT-009</t>
        </is>
      </c>
      <c r="B46" s="6" t="inlineStr">
        <is>
          <t>Sorting</t>
        </is>
      </c>
      <c r="C46" s="6" t="inlineStr">
        <is>
          <t>Rapidly switching between all four sort options leaves a correct final state</t>
        </is>
      </c>
      <c r="D46" s="6" t="inlineStr">
        <is>
          <t>Destructive</t>
        </is>
      </c>
      <c r="E46" s="10" t="inlineStr">
        <is>
          <t>P2</t>
        </is>
      </c>
      <c r="F46" s="6" t="inlineStr">
        <is>
          <t>Discovery</t>
        </is>
      </c>
      <c r="G46" s="6" t="inlineStr">
        <is>
          <t>User is on the Catalog screen.</t>
        </is>
      </c>
      <c r="H46" s="6" t="inlineStr">
        <is>
          <t>1. Switch between all four sort options as fast as the UI allows, at least fifteen changes
2. Stop on price ascending
3. Verify the sort indicator and the actual product order</t>
        </is>
      </c>
      <c r="I46" s="6" t="inlineStr">
        <is>
          <t>The indicator matches the last option selected, and the products are genuinely in that order. No crash, no duplicated products, no empty grid, no mismatch between the indicator and the real order.</t>
        </is>
      </c>
      <c r="J46" s="6" t="inlineStr">
        <is>
          <t>Destructive (rapid state change)</t>
        </is>
      </c>
      <c r="K46" s="6" t="inlineStr">
        <is>
          <t>R-15</t>
        </is>
      </c>
      <c r="L46" s="6" t="inlineStr">
        <is>
          <t>No</t>
        </is>
      </c>
      <c r="M46" s="8" t="inlineStr">
        <is>
          <t>Not Run</t>
        </is>
      </c>
      <c r="N46" s="9" t="n"/>
      <c r="O46" s="9" t="n"/>
      <c r="P46" s="9" t="n"/>
      <c r="Q46" s="9" t="n"/>
      <c r="R46" s="9" t="n"/>
    </row>
    <row r="47" ht="92" customHeight="1">
      <c r="A47" s="6" t="inlineStr">
        <is>
          <t>TC-SORT-010</t>
        </is>
      </c>
      <c r="B47" s="6" t="inlineStr">
        <is>
          <t>Sorting</t>
        </is>
      </c>
      <c r="C47" s="6" t="inlineStr">
        <is>
          <t>Sort persists across an app restart</t>
        </is>
      </c>
      <c r="D47" s="6" t="inlineStr">
        <is>
          <t>Functional</t>
        </is>
      </c>
      <c r="E47" s="11" t="inlineStr">
        <is>
          <t>P3</t>
        </is>
      </c>
      <c r="F47" s="6" t="inlineStr">
        <is>
          <t>Discovery</t>
        </is>
      </c>
      <c r="G47" s="6" t="inlineStr">
        <is>
          <t>User is on the Catalog screen.</t>
        </is>
      </c>
      <c r="H47" s="6" t="inlineStr">
        <is>
          <t>1. Apply the price-descending sort
2. Force-stop the app: adb shell am force-stop com.saucelabs.mydemoapp.android
3. Relaunch and observe the Catalog</t>
        </is>
      </c>
      <c r="I47" s="6" t="inlineStr">
        <is>
          <t>Nothing in the app states whether the sort persists across a restart, so either result is a valid finding. Record the actual behaviour and raise it as a question for the Product Owner rather than a defect.</t>
        </is>
      </c>
      <c r="J47" s="6" t="inlineStr">
        <is>
          <t>State transition testing (process death)</t>
        </is>
      </c>
      <c r="K47" s="6" t="inlineStr">
        <is>
          <t>R-05</t>
        </is>
      </c>
      <c r="L47" s="6" t="inlineStr">
        <is>
          <t>Yes</t>
        </is>
      </c>
      <c r="M47" s="8" t="inlineStr">
        <is>
          <t>Not Run</t>
        </is>
      </c>
      <c r="N47" s="9" t="n"/>
      <c r="O47" s="9" t="n"/>
      <c r="P47" s="9" t="n"/>
      <c r="Q47" s="9" t="n"/>
      <c r="R47" s="9" t="n"/>
    </row>
    <row r="48" ht="92" customHeight="1">
      <c r="A48" s="6" t="inlineStr">
        <is>
          <t>TC-SORT-011</t>
        </is>
      </c>
      <c r="B48" s="6" t="inlineStr">
        <is>
          <t>Sorting</t>
        </is>
      </c>
      <c r="C48" s="6" t="inlineStr">
        <is>
          <t>Sort control is reachable and announced by a screen reader</t>
        </is>
      </c>
      <c r="D48" s="6" t="inlineStr">
        <is>
          <t>Accessibility</t>
        </is>
      </c>
      <c r="E48" s="11" t="inlineStr">
        <is>
          <t>P3</t>
        </is>
      </c>
      <c r="F48" s="6" t="inlineStr">
        <is>
          <t>Discovery</t>
        </is>
      </c>
      <c r="G48" s="6" t="inlineStr">
        <is>
          <t>TalkBack enabled. User is on the Catalog screen.</t>
        </is>
      </c>
      <c r="H48" s="6" t="inlineStr">
        <is>
          <t>1. Traverse to the sort control using TalkBack
2. Note the announcement, including whether the current selection is spoken
3. Activate it and traverse the options</t>
        </is>
      </c>
      <c r="I48" s="6" t="inlineStr">
        <is>
          <t>The control announces both its purpose and the currently selected sort. Each option is announced distinctly. A user who cannot see the highlight must still be able to tell which sort is active.</t>
        </is>
      </c>
      <c r="J48" s="6" t="inlineStr">
        <is>
          <t>Accessibility (WCAG 4.1.2 Name, Role, Value)</t>
        </is>
      </c>
      <c r="K48" s="6" t="inlineStr">
        <is>
          <t>R-13</t>
        </is>
      </c>
      <c r="L48" s="6" t="inlineStr">
        <is>
          <t>No</t>
        </is>
      </c>
      <c r="M48" s="8" t="inlineStr">
        <is>
          <t>Not Run</t>
        </is>
      </c>
      <c r="N48" s="9" t="n"/>
      <c r="O48" s="9" t="n"/>
      <c r="P48" s="9" t="n"/>
      <c r="Q48" s="9" t="n"/>
      <c r="R48" s="9" t="n"/>
    </row>
    <row r="49" ht="92" customHeight="1">
      <c r="A49" s="6" t="inlineStr">
        <is>
          <t>TC-PDP-001</t>
        </is>
      </c>
      <c r="B49" s="6" t="inlineStr">
        <is>
          <t>Product Detail</t>
        </is>
      </c>
      <c r="C49" s="6" t="inlineStr">
        <is>
          <t>Product detail page displays name, price, image, rating and description</t>
        </is>
      </c>
      <c r="D49" s="6" t="inlineStr">
        <is>
          <t>Smoke</t>
        </is>
      </c>
      <c r="E49" s="7" t="inlineStr">
        <is>
          <t>P1</t>
        </is>
      </c>
      <c r="F49" s="6" t="inlineStr">
        <is>
          <t>Consideration</t>
        </is>
      </c>
      <c r="G49" s="6" t="inlineStr">
        <is>
          <t>User has opened a product from the Catalog.</t>
        </is>
      </c>
      <c r="H49" s="6" t="inlineStr">
        <is>
          <t>1. Observe the product detail page from top to bottom
2. Scroll to the end of the page
3. Confirm the presence of: product name, price, at least one image, a star rating, a description and the product highlights section</t>
        </is>
      </c>
      <c r="I49" s="6" t="inlineStr">
        <is>
          <t>All six elements are present and populated. No section shows placeholder or truncated content. The description is readable prose with no raw markup or encoding errors.</t>
        </is>
      </c>
      <c r="J49" s="6" t="inlineStr">
        <is>
          <t>Specification-based (use case)</t>
        </is>
      </c>
      <c r="K49" s="6" t="inlineStr">
        <is>
          <t>R-08</t>
        </is>
      </c>
      <c r="L49" s="6" t="inlineStr">
        <is>
          <t>Yes</t>
        </is>
      </c>
      <c r="M49" s="8" t="inlineStr">
        <is>
          <t>Not Run</t>
        </is>
      </c>
      <c r="N49" s="9" t="n"/>
      <c r="O49" s="9" t="n"/>
      <c r="P49" s="9" t="n"/>
      <c r="Q49" s="9" t="n"/>
      <c r="R49" s="9" t="n"/>
    </row>
    <row r="50" ht="92" customHeight="1">
      <c r="A50" s="6" t="inlineStr">
        <is>
          <t>TC-PDP-002</t>
        </is>
      </c>
      <c r="B50" s="6" t="inlineStr">
        <is>
          <t>Product Detail</t>
        </is>
      </c>
      <c r="C50" s="6" t="inlineStr">
        <is>
          <t>The price on the detail page matches the price on the catalogue tile</t>
        </is>
      </c>
      <c r="D50" s="6" t="inlineStr">
        <is>
          <t>Functional</t>
        </is>
      </c>
      <c r="E50" s="7" t="inlineStr">
        <is>
          <t>P1</t>
        </is>
      </c>
      <c r="F50" s="6" t="inlineStr">
        <is>
          <t>Consideration</t>
        </is>
      </c>
      <c r="G50" s="6" t="inlineStr">
        <is>
          <t>User is on the Catalog screen.</t>
        </is>
      </c>
      <c r="H50" s="6" t="inlineStr">
        <is>
          <t>1. Record the exact price shown on five different product tiles
2. Open each of those five products in turn
3. Compare the detail-page price against the recorded tile price</t>
        </is>
      </c>
      <c r="I50" s="6" t="inlineStr">
        <is>
          <t>The price is identical on both screens for all five products, including the currency symbol and decimals. A mismatch is a trust defect: the customer believes they were shown one price and may be charged another.</t>
        </is>
      </c>
      <c r="J50" s="6" t="inlineStr">
        <is>
          <t>Consistency oracle across screens</t>
        </is>
      </c>
      <c r="K50" s="6" t="inlineStr">
        <is>
          <t>R-07</t>
        </is>
      </c>
      <c r="L50" s="6" t="inlineStr">
        <is>
          <t>Yes</t>
        </is>
      </c>
      <c r="M50" s="8" t="inlineStr">
        <is>
          <t>Not Run</t>
        </is>
      </c>
      <c r="N50" s="9" t="n"/>
      <c r="O50" s="9" t="n"/>
      <c r="P50" s="9" t="n"/>
      <c r="Q50" s="9" t="n"/>
      <c r="R50" s="9" t="n"/>
    </row>
    <row r="51" ht="92" customHeight="1">
      <c r="A51" s="6" t="inlineStr">
        <is>
          <t>TC-PDP-003</t>
        </is>
      </c>
      <c r="B51" s="6" t="inlineStr">
        <is>
          <t>Product Detail</t>
        </is>
      </c>
      <c r="C51" s="6" t="inlineStr">
        <is>
          <t>Colour variant selection updates the displayed product image</t>
        </is>
      </c>
      <c r="D51" s="6" t="inlineStr">
        <is>
          <t>Functional</t>
        </is>
      </c>
      <c r="E51" s="7" t="inlineStr">
        <is>
          <t>P1</t>
        </is>
      </c>
      <c r="F51" s="6" t="inlineStr">
        <is>
          <t>Consideration</t>
        </is>
      </c>
      <c r="G51" s="6" t="inlineStr">
        <is>
          <t>User is on a product detail page for a product with multiple colour options.</t>
        </is>
      </c>
      <c r="H51" s="6" t="inlineStr">
        <is>
          <t>1. Note the currently selected colour and the main image
2. Select a different colour
3. Observe the main image and the colour indicator
4. Select a third colour and observe again</t>
        </is>
      </c>
      <c r="I51" s="6" t="inlineStr">
        <is>
          <t>The main image changes to match the newly selected colour each time. The selected colour is clearly indicated. The image of the previously selected colour does not remain on screen.</t>
        </is>
      </c>
      <c r="J51" s="6" t="inlineStr">
        <is>
          <t>State transition testing</t>
        </is>
      </c>
      <c r="K51" s="6" t="inlineStr">
        <is>
          <t>R-08</t>
        </is>
      </c>
      <c r="L51" s="6" t="inlineStr">
        <is>
          <t>Yes</t>
        </is>
      </c>
      <c r="M51" s="8" t="inlineStr">
        <is>
          <t>Not Run</t>
        </is>
      </c>
      <c r="N51" s="9" t="n"/>
      <c r="O51" s="9" t="n"/>
      <c r="P51" s="9" t="n"/>
      <c r="Q51" s="9" t="n"/>
      <c r="R51" s="9" t="n"/>
    </row>
    <row r="52" ht="92" customHeight="1">
      <c r="A52" s="6" t="inlineStr">
        <is>
          <t>TC-PDP-004</t>
        </is>
      </c>
      <c r="B52" s="6" t="inlineStr">
        <is>
          <t>Product Detail</t>
        </is>
      </c>
      <c r="C52" s="6" t="inlineStr">
        <is>
          <t>Quantity can be increased and decreased with the stepper controls</t>
        </is>
      </c>
      <c r="D52" s="6" t="inlineStr">
        <is>
          <t>Functional</t>
        </is>
      </c>
      <c r="E52" s="7" t="inlineStr">
        <is>
          <t>P1</t>
        </is>
      </c>
      <c r="F52" s="6" t="inlineStr">
        <is>
          <t>Consideration</t>
        </is>
      </c>
      <c r="G52" s="6" t="inlineStr">
        <is>
          <t>User is on a product detail page. Quantity shows its default value.</t>
        </is>
      </c>
      <c r="H52" s="6" t="inlineStr">
        <is>
          <t>1. Note the default quantity
2. Tap the increase control three times, observing the value after each tap
3. Tap the decrease control twice, observing the value after each tap</t>
        </is>
      </c>
      <c r="I52" s="6" t="inlineStr">
        <is>
          <t>The quantity increments by exactly one per tap and decrements by exactly one per tap. The displayed value is always correct and never skips or lags behind the taps.</t>
        </is>
      </c>
      <c r="J52" s="6" t="inlineStr">
        <is>
          <t>Specification-based (use case)</t>
        </is>
      </c>
      <c r="K52" s="6" t="inlineStr">
        <is>
          <t>R-17</t>
        </is>
      </c>
      <c r="L52" s="6" t="inlineStr">
        <is>
          <t>Yes</t>
        </is>
      </c>
      <c r="M52" s="8" t="inlineStr">
        <is>
          <t>Not Run</t>
        </is>
      </c>
      <c r="N52" s="9" t="n"/>
      <c r="O52" s="9" t="n"/>
      <c r="P52" s="9" t="n"/>
      <c r="Q52" s="9" t="n"/>
      <c r="R52" s="9" t="n"/>
    </row>
    <row r="53" ht="92" customHeight="1">
      <c r="A53" s="6" t="inlineStr">
        <is>
          <t>TC-PDP-005</t>
        </is>
      </c>
      <c r="B53" s="6" t="inlineStr">
        <is>
          <t>Product Detail</t>
        </is>
      </c>
      <c r="C53" s="6" t="inlineStr">
        <is>
          <t>Quantity cannot be decreased below its minimum</t>
        </is>
      </c>
      <c r="D53" s="6" t="inlineStr">
        <is>
          <t>Boundary</t>
        </is>
      </c>
      <c r="E53" s="7" t="inlineStr">
        <is>
          <t>P1</t>
        </is>
      </c>
      <c r="F53" s="6" t="inlineStr">
        <is>
          <t>Consideration</t>
        </is>
      </c>
      <c r="G53" s="6" t="inlineStr">
        <is>
          <t>User is on a product detail page with quantity at its default.</t>
        </is>
      </c>
      <c r="H53" s="6" t="inlineStr">
        <is>
          <t>1. Tap the decrease control repeatedly, at least ten times
2. Observe the quantity value after each tap
3. Attempt to add to cart at the resulting quantity</t>
        </is>
      </c>
      <c r="I53" s="6" t="inlineStr">
        <is>
          <t>The quantity stops at its minimum and never becomes zero or negative. The decrease control is disabled or ignored at the minimum. It must be impossible to add a zero or negative quantity to the cart.</t>
        </is>
      </c>
      <c r="J53" s="6" t="inlineStr">
        <is>
          <t>Boundary value analysis (lower bound)</t>
        </is>
      </c>
      <c r="K53" s="6" t="inlineStr">
        <is>
          <t>R-17</t>
        </is>
      </c>
      <c r="L53" s="6" t="inlineStr">
        <is>
          <t>Yes</t>
        </is>
      </c>
      <c r="M53" s="8" t="inlineStr">
        <is>
          <t>Not Run</t>
        </is>
      </c>
      <c r="N53" s="9" t="n"/>
      <c r="O53" s="9" t="n"/>
      <c r="P53" s="9" t="n"/>
      <c r="Q53" s="9" t="n"/>
      <c r="R53" s="9" t="n"/>
    </row>
    <row r="54" ht="92" customHeight="1">
      <c r="A54" s="6" t="inlineStr">
        <is>
          <t>TC-PDP-006</t>
        </is>
      </c>
      <c r="B54" s="6" t="inlineStr">
        <is>
          <t>Product Detail</t>
        </is>
      </c>
      <c r="C54" s="6" t="inlineStr">
        <is>
          <t>Quantity behaviour at a high upper value is defined and does not break the layout</t>
        </is>
      </c>
      <c r="D54" s="6" t="inlineStr">
        <is>
          <t>Boundary</t>
        </is>
      </c>
      <c r="E54" s="10" t="inlineStr">
        <is>
          <t>P2</t>
        </is>
      </c>
      <c r="F54" s="6" t="inlineStr">
        <is>
          <t>Consideration</t>
        </is>
      </c>
      <c r="G54" s="6" t="inlineStr">
        <is>
          <t>User is on a product detail page.</t>
        </is>
      </c>
      <c r="H54" s="6" t="inlineStr">
        <is>
          <t>1. Tap the increase control repeatedly until the value stops rising or reaches 99
2. Note the highest value reached and whether a limit message appears
3. Observe whether the number still fits inside its control
4. Add to cart and check the cart total</t>
        </is>
      </c>
      <c r="I54" s="6" t="inlineStr">
        <is>
          <t>Either a maximum is enforced with clear feedback, or the value keeps rising. In either case the number stays inside its control without overlapping neighbours, and the cart total calculated from that quantity is arithmetically correct.</t>
        </is>
      </c>
      <c r="J54" s="6" t="inlineStr">
        <is>
          <t>Boundary value analysis (upper bound)</t>
        </is>
      </c>
      <c r="K54" s="6" t="inlineStr">
        <is>
          <t>R-17</t>
        </is>
      </c>
      <c r="L54" s="6" t="inlineStr">
        <is>
          <t>Yes</t>
        </is>
      </c>
      <c r="M54" s="8" t="inlineStr">
        <is>
          <t>Not Run</t>
        </is>
      </c>
      <c r="N54" s="9" t="n"/>
      <c r="O54" s="9" t="n"/>
      <c r="P54" s="9" t="n"/>
      <c r="Q54" s="9" t="n"/>
      <c r="R54" s="9" t="n"/>
    </row>
    <row r="55" ht="92" customHeight="1">
      <c r="A55" s="6" t="inlineStr">
        <is>
          <t>TC-PDP-007</t>
        </is>
      </c>
      <c r="B55" s="6" t="inlineStr">
        <is>
          <t>Product Detail</t>
        </is>
      </c>
      <c r="C55" s="6" t="inlineStr">
        <is>
          <t>Add to cart increments the cart badge by exactly the selected quantity</t>
        </is>
      </c>
      <c r="D55" s="6" t="inlineStr">
        <is>
          <t>Functional</t>
        </is>
      </c>
      <c r="E55" s="7" t="inlineStr">
        <is>
          <t>P1</t>
        </is>
      </c>
      <c r="F55" s="6" t="inlineStr">
        <is>
          <t>Consideration</t>
        </is>
      </c>
      <c r="G55" s="6" t="inlineStr">
        <is>
          <t>Cart is empty. User is on a product detail page.</t>
        </is>
      </c>
      <c r="H55" s="6" t="inlineStr">
        <is>
          <t>1. Confirm the cart badge shows an empty cart
2. Set the quantity to 3
3. Tap Add to cart
4. Observe the cart badge</t>
        </is>
      </c>
      <c r="I55" s="6" t="inlineStr">
        <is>
          <t>The badge shows exactly 3. It does not show 1, ignoring the quantity, and it does not show 4, double-counting. Getting this wrong directly misprices the order.</t>
        </is>
      </c>
      <c r="J55" s="6" t="inlineStr">
        <is>
          <t>State transition testing</t>
        </is>
      </c>
      <c r="K55" s="6" t="inlineStr">
        <is>
          <t>R-11</t>
        </is>
      </c>
      <c r="L55" s="6" t="inlineStr">
        <is>
          <t>Yes</t>
        </is>
      </c>
      <c r="M55" s="8" t="inlineStr">
        <is>
          <t>Not Run</t>
        </is>
      </c>
      <c r="N55" s="9" t="n"/>
      <c r="O55" s="9" t="n"/>
      <c r="P55" s="9" t="n"/>
      <c r="Q55" s="9" t="n"/>
      <c r="R55" s="9" t="n"/>
    </row>
    <row r="56" ht="92" customHeight="1">
      <c r="A56" s="6" t="inlineStr">
        <is>
          <t>TC-PDP-008</t>
        </is>
      </c>
      <c r="B56" s="6" t="inlineStr">
        <is>
          <t>Product Detail</t>
        </is>
      </c>
      <c r="C56" s="6" t="inlineStr">
        <is>
          <t>Adding the same product twice consolidates rather than duplicating</t>
        </is>
      </c>
      <c r="D56" s="6" t="inlineStr">
        <is>
          <t>Functional</t>
        </is>
      </c>
      <c r="E56" s="10" t="inlineStr">
        <is>
          <t>P2</t>
        </is>
      </c>
      <c r="F56" s="6" t="inlineStr">
        <is>
          <t>Consideration</t>
        </is>
      </c>
      <c r="G56" s="6" t="inlineStr">
        <is>
          <t>Cart is empty.</t>
        </is>
      </c>
      <c r="H56" s="6" t="inlineStr">
        <is>
          <t>1. Open a product, set quantity 2, add to cart
2. Press back to the Catalog
3. Open the same product again, set quantity 3, add to cart
4. Open the cart and inspect the entries</t>
        </is>
      </c>
      <c r="I56" s="6" t="inlineStr">
        <is>
          <t>Record the actual behaviour. Either the cart holds one line for that product with quantity 5, or two separate lines of 2 and 3. Whichever it is, the badge count and the cart total must agree with what is displayed — an inconsistency between them is the defect.</t>
        </is>
      </c>
      <c r="J56" s="6" t="inlineStr">
        <is>
          <t>State transition testing</t>
        </is>
      </c>
      <c r="K56" s="6" t="inlineStr">
        <is>
          <t>R-11</t>
        </is>
      </c>
      <c r="L56" s="6" t="inlineStr">
        <is>
          <t>Yes</t>
        </is>
      </c>
      <c r="M56" s="8" t="inlineStr">
        <is>
          <t>Not Run</t>
        </is>
      </c>
      <c r="N56" s="9" t="n"/>
      <c r="O56" s="9" t="n"/>
      <c r="P56" s="9" t="n"/>
      <c r="Q56" s="9" t="n"/>
      <c r="R56" s="9" t="n"/>
    </row>
    <row r="57" ht="92" customHeight="1">
      <c r="A57" s="6" t="inlineStr">
        <is>
          <t>TC-PDP-009</t>
        </is>
      </c>
      <c r="B57" s="6" t="inlineStr">
        <is>
          <t>Product Detail</t>
        </is>
      </c>
      <c r="C57" s="6" t="inlineStr">
        <is>
          <t>Star rating control responds to taps and reflects the selected rating</t>
        </is>
      </c>
      <c r="D57" s="6" t="inlineStr">
        <is>
          <t>Functional</t>
        </is>
      </c>
      <c r="E57" s="11" t="inlineStr">
        <is>
          <t>P3</t>
        </is>
      </c>
      <c r="F57" s="6" t="inlineStr">
        <is>
          <t>Consideration</t>
        </is>
      </c>
      <c r="G57" s="6" t="inlineStr">
        <is>
          <t>User is on a product detail page.</t>
        </is>
      </c>
      <c r="H57" s="6" t="inlineStr">
        <is>
          <t>1. Note the current rating
2. Tap the fourth star
3. Observe the number of filled stars
4. Tap the first star and observe again</t>
        </is>
      </c>
      <c r="I57" s="6" t="inlineStr">
        <is>
          <t>Tapping the fourth star fills exactly four stars; tapping the first fills exactly one. The control never shows more than five or fewer than zero filled stars. If a thank-you confirmation appears it is dismissible and does not block the page.</t>
        </is>
      </c>
      <c r="J57" s="6" t="inlineStr">
        <is>
          <t>Boundary awareness / state transition</t>
        </is>
      </c>
      <c r="K57" s="6" t="inlineStr">
        <is>
          <t>R-18</t>
        </is>
      </c>
      <c r="L57" s="6" t="inlineStr">
        <is>
          <t>No</t>
        </is>
      </c>
      <c r="M57" s="8" t="inlineStr">
        <is>
          <t>Not Run</t>
        </is>
      </c>
      <c r="N57" s="9" t="n"/>
      <c r="O57" s="9" t="n"/>
      <c r="P57" s="9" t="n"/>
      <c r="Q57" s="9" t="n"/>
      <c r="R57" s="9" t="n"/>
    </row>
    <row r="58" ht="92" customHeight="1">
      <c r="A58" s="6" t="inlineStr">
        <is>
          <t>TC-PDP-010</t>
        </is>
      </c>
      <c r="B58" s="6" t="inlineStr">
        <is>
          <t>Product Detail</t>
        </is>
      </c>
      <c r="C58" s="6" t="inlineStr">
        <is>
          <t>Product image gallery can be swiped through in both directions</t>
        </is>
      </c>
      <c r="D58" s="6" t="inlineStr">
        <is>
          <t>Functional</t>
        </is>
      </c>
      <c r="E58" s="10" t="inlineStr">
        <is>
          <t>P2</t>
        </is>
      </c>
      <c r="F58" s="6" t="inlineStr">
        <is>
          <t>Consideration</t>
        </is>
      </c>
      <c r="G58" s="6" t="inlineStr">
        <is>
          <t>User is on a product detail page with more than one image.</t>
        </is>
      </c>
      <c r="H58" s="6" t="inlineStr">
        <is>
          <t>1. Note the image position indicator
2. Swipe left through every image to the last one
3. Swipe right back to the first
4. Watch for blank frames or a stuck position</t>
        </is>
      </c>
      <c r="I58" s="6" t="inlineStr">
        <is>
          <t>Every image loads and matches the product. The position indicator tracks correctly. Swiping works in both directions and stops cleanly at each end rather than looping unexpectedly or freezing.</t>
        </is>
      </c>
      <c r="J58" s="6" t="inlineStr">
        <is>
          <t>Specification-based (use case)</t>
        </is>
      </c>
      <c r="K58" s="6" t="inlineStr">
        <is>
          <t>R-08</t>
        </is>
      </c>
      <c r="L58" s="6" t="inlineStr">
        <is>
          <t>No</t>
        </is>
      </c>
      <c r="M58" s="8" t="inlineStr">
        <is>
          <t>Not Run</t>
        </is>
      </c>
      <c r="N58" s="9" t="n"/>
      <c r="O58" s="9" t="n"/>
      <c r="P58" s="9" t="n"/>
      <c r="Q58" s="9" t="n"/>
      <c r="R58" s="9" t="n"/>
    </row>
    <row r="59" ht="92" customHeight="1">
      <c r="A59" s="6" t="inlineStr">
        <is>
          <t>TC-PDP-011</t>
        </is>
      </c>
      <c r="B59" s="6" t="inlineStr">
        <is>
          <t>Product Detail</t>
        </is>
      </c>
      <c r="C59" s="6" t="inlineStr">
        <is>
          <t>Product description and highlights are complete and free of encoding errors</t>
        </is>
      </c>
      <c r="D59" s="6" t="inlineStr">
        <is>
          <t>Functional</t>
        </is>
      </c>
      <c r="E59" s="10" t="inlineStr">
        <is>
          <t>P2</t>
        </is>
      </c>
      <c r="F59" s="6" t="inlineStr">
        <is>
          <t>Consideration</t>
        </is>
      </c>
      <c r="G59" s="6" t="inlineStr">
        <is>
          <t>User is on a product detail page.</t>
        </is>
      </c>
      <c r="H59" s="6" t="inlineStr">
        <is>
          <t>1. Read the full description word by word
2. Read the product highlights section
3. Look for truncated sentences, raw HTML tags, doubled spaces, or replacement characters</t>
        </is>
      </c>
      <c r="I59" s="6" t="inlineStr">
        <is>
          <t>The text is complete, ends in a full stop, and contains no raw markup, no character-encoding artefacts and no obvious grammatical errors. Product copy is customer-facing content and defects in it are reportable.</t>
        </is>
      </c>
      <c r="J59" s="6" t="inlineStr">
        <is>
          <t>Static review of user-facing copy</t>
        </is>
      </c>
      <c r="K59" s="6" t="inlineStr">
        <is>
          <t>R-04</t>
        </is>
      </c>
      <c r="L59" s="6" t="inlineStr">
        <is>
          <t>No</t>
        </is>
      </c>
      <c r="M59" s="8" t="inlineStr">
        <is>
          <t>Not Run</t>
        </is>
      </c>
      <c r="N59" s="9" t="n"/>
      <c r="O59" s="9" t="n"/>
      <c r="P59" s="9" t="n"/>
      <c r="Q59" s="9" t="n"/>
      <c r="R59" s="9" t="n"/>
    </row>
    <row r="60" ht="92" customHeight="1">
      <c r="A60" s="6" t="inlineStr">
        <is>
          <t>TC-PDP-012</t>
        </is>
      </c>
      <c r="B60" s="6" t="inlineStr">
        <is>
          <t>Product Detail</t>
        </is>
      </c>
      <c r="C60" s="6" t="inlineStr">
        <is>
          <t>Social media links on the product page open the correct destinations</t>
        </is>
      </c>
      <c r="D60" s="6" t="inlineStr">
        <is>
          <t>Functional</t>
        </is>
      </c>
      <c r="E60" s="11" t="inlineStr">
        <is>
          <t>P3</t>
        </is>
      </c>
      <c r="F60" s="6" t="inlineStr">
        <is>
          <t>Consideration</t>
        </is>
      </c>
      <c r="G60" s="6" t="inlineStr">
        <is>
          <t>User is on a product detail page. Device has a browser and network access.</t>
        </is>
      </c>
      <c r="H60" s="6" t="inlineStr">
        <is>
          <t>1. Scroll to the social links section
2. Tap the first social link and note where it lands
3. Return to the app and repeat for each remaining social link</t>
        </is>
      </c>
      <c r="I60" s="6" t="inlineStr">
        <is>
          <t>Each link opens the platform it depicts, and the app is returned to intact when you come back. A link that opens the wrong platform, or one that leaves the app in a broken state on return, is a defect.</t>
        </is>
      </c>
      <c r="J60" s="6" t="inlineStr">
        <is>
          <t>Specification-based (use case)</t>
        </is>
      </c>
      <c r="K60" s="6" t="inlineStr">
        <is>
          <t>R-19</t>
        </is>
      </c>
      <c r="L60" s="6" t="inlineStr">
        <is>
          <t>No</t>
        </is>
      </c>
      <c r="M60" s="8" t="inlineStr">
        <is>
          <t>Not Run</t>
        </is>
      </c>
      <c r="N60" s="9" t="n"/>
      <c r="O60" s="9" t="n"/>
      <c r="P60" s="9" t="n"/>
      <c r="Q60" s="9" t="n"/>
      <c r="R60" s="9" t="n"/>
    </row>
    <row r="61" ht="92" customHeight="1">
      <c r="A61" s="6" t="inlineStr">
        <is>
          <t>TC-PDP-013</t>
        </is>
      </c>
      <c r="B61" s="6" t="inlineStr">
        <is>
          <t>Product Detail</t>
        </is>
      </c>
      <c r="C61" s="6" t="inlineStr">
        <is>
          <t>Back navigation from the product detail page returns to the Catalog</t>
        </is>
      </c>
      <c r="D61" s="6" t="inlineStr">
        <is>
          <t>Functional</t>
        </is>
      </c>
      <c r="E61" s="7" t="inlineStr">
        <is>
          <t>P1</t>
        </is>
      </c>
      <c r="F61" s="6" t="inlineStr">
        <is>
          <t>Consideration</t>
        </is>
      </c>
      <c r="G61" s="6" t="inlineStr">
        <is>
          <t>User has opened a product from a sorted Catalog.</t>
        </is>
      </c>
      <c r="H61" s="6" t="inlineStr">
        <is>
          <t>1. Apply the price-ascending sort on the Catalog
2. Scroll down and open a product
3. Press the system back button
4. Observe the screen, the sort state and the scroll position</t>
        </is>
      </c>
      <c r="I61" s="6" t="inlineStr">
        <is>
          <t>The user returns to the Catalog with the sort still applied and the scroll position preserved. Landing on a different screen, or on an unsorted list scrolled to the top, is a defect.</t>
        </is>
      </c>
      <c r="J61" s="6" t="inlineStr">
        <is>
          <t>State transition testing</t>
        </is>
      </c>
      <c r="K61" s="6" t="inlineStr">
        <is>
          <t>R-10</t>
        </is>
      </c>
      <c r="L61" s="6" t="inlineStr">
        <is>
          <t>Yes</t>
        </is>
      </c>
      <c r="M61" s="8" t="inlineStr">
        <is>
          <t>Not Run</t>
        </is>
      </c>
      <c r="N61" s="9" t="n"/>
      <c r="O61" s="9" t="n"/>
      <c r="P61" s="9" t="n"/>
      <c r="Q61" s="9" t="n"/>
      <c r="R61" s="9" t="n"/>
    </row>
    <row r="62" ht="92" customHeight="1">
      <c r="A62" s="6" t="inlineStr">
        <is>
          <t>TC-PDP-014</t>
        </is>
      </c>
      <c r="B62" s="6" t="inlineStr">
        <is>
          <t>Product Detail</t>
        </is>
      </c>
      <c r="C62" s="6" t="inlineStr">
        <is>
          <t>Product detail page remains usable at maximum font size</t>
        </is>
      </c>
      <c r="D62" s="6" t="inlineStr">
        <is>
          <t>Accessibility</t>
        </is>
      </c>
      <c r="E62" s="10" t="inlineStr">
        <is>
          <t>P2</t>
        </is>
      </c>
      <c r="F62" s="6" t="inlineStr">
        <is>
          <t>Consideration</t>
        </is>
      </c>
      <c r="G62" s="6" t="inlineStr">
        <is>
          <t>Font size and display size set to maximum.</t>
        </is>
      </c>
      <c r="H62" s="6" t="inlineStr">
        <is>
          <t>1. Set font and display size to maximum
2. Open a product detail page
3. Inspect the price, quantity value, colour labels and Add to cart button
4. Confirm Add to cart is fully visible and tappable</t>
        </is>
      </c>
      <c r="I62" s="6" t="inlineStr">
        <is>
          <t>The price and quantity remain fully readable and are never truncated. The Add to cart button stays fully on screen and tappable. No text overlaps another element.</t>
        </is>
      </c>
      <c r="J62" s="6" t="inlineStr">
        <is>
          <t>Accessibility (WCAG 1.4.4)</t>
        </is>
      </c>
      <c r="K62" s="6" t="inlineStr">
        <is>
          <t>R-13</t>
        </is>
      </c>
      <c r="L62" s="6" t="inlineStr">
        <is>
          <t>No</t>
        </is>
      </c>
      <c r="M62" s="8" t="inlineStr">
        <is>
          <t>Not Run</t>
        </is>
      </c>
      <c r="N62" s="9" t="n"/>
      <c r="O62" s="9" t="n"/>
      <c r="P62" s="9" t="n"/>
      <c r="Q62" s="9" t="n"/>
      <c r="R62" s="9" t="n"/>
    </row>
    <row r="63" ht="92" customHeight="1">
      <c r="A63" s="6" t="inlineStr">
        <is>
          <t>TC-PDP-015</t>
        </is>
      </c>
      <c r="B63" s="6" t="inlineStr">
        <is>
          <t>Product Detail</t>
        </is>
      </c>
      <c r="C63" s="6" t="inlineStr">
        <is>
          <t>Colour options are distinguishable without relying on colour alone</t>
        </is>
      </c>
      <c r="D63" s="6" t="inlineStr">
        <is>
          <t>Accessibility</t>
        </is>
      </c>
      <c r="E63" s="10" t="inlineStr">
        <is>
          <t>P2</t>
        </is>
      </c>
      <c r="F63" s="6" t="inlineStr">
        <is>
          <t>Consideration</t>
        </is>
      </c>
      <c r="G63" s="6" t="inlineStr">
        <is>
          <t>User is on a product detail page with multiple colour options. TalkBack enabled.</t>
        </is>
      </c>
      <c r="H63" s="6" t="inlineStr">
        <is>
          <t>1. Traverse the colour options with TalkBack and note what is announced for each
2. Turn TalkBack off and use Android's grayscale or colour-correction setting
3. Determine whether you can still tell which colour is selected</t>
        </is>
      </c>
      <c r="I63" s="6" t="inlineStr">
        <is>
          <t>Each colour option is announced by name, not merely as 'button'. The selected state is conveyed by more than colour alone — a border, checkmark or label — so it remains perceivable in grayscale.</t>
        </is>
      </c>
      <c r="J63" s="6" t="inlineStr">
        <is>
          <t>Accessibility (WCAG 1.4.1 Use of Colour)</t>
        </is>
      </c>
      <c r="K63" s="6" t="inlineStr">
        <is>
          <t>R-13</t>
        </is>
      </c>
      <c r="L63" s="6" t="inlineStr">
        <is>
          <t>No</t>
        </is>
      </c>
      <c r="M63" s="8" t="inlineStr">
        <is>
          <t>Not Run</t>
        </is>
      </c>
      <c r="N63" s="9" t="n"/>
      <c r="O63" s="9" t="n"/>
      <c r="P63" s="9" t="n"/>
      <c r="Q63" s="9" t="n"/>
      <c r="R63" s="9" t="n"/>
    </row>
    <row r="64" ht="92" customHeight="1">
      <c r="A64" s="6" t="inlineStr">
        <is>
          <t>TC-PDP-016</t>
        </is>
      </c>
      <c r="B64" s="6" t="inlineStr">
        <is>
          <t>Product Detail</t>
        </is>
      </c>
      <c r="C64" s="6" t="inlineStr">
        <is>
          <t>Adding to cart while offline behaves predictably</t>
        </is>
      </c>
      <c r="D64" s="6" t="inlineStr">
        <is>
          <t>Destructive</t>
        </is>
      </c>
      <c r="E64" s="10" t="inlineStr">
        <is>
          <t>P2</t>
        </is>
      </c>
      <c r="F64" s="6" t="inlineStr">
        <is>
          <t>Consideration</t>
        </is>
      </c>
      <c r="G64" s="6" t="inlineStr">
        <is>
          <t>User is on a product detail page.</t>
        </is>
      </c>
      <c r="H64" s="6" t="inlineStr">
        <is>
          <t>1. Enable airplane mode
2. Tap Add to cart
3. Observe the immediate feedback and the cart badge
4. Disable airplane mode, open the cart and verify the contents</t>
        </is>
      </c>
      <c r="I64" s="6" t="inlineStr">
        <is>
          <t>Either the item is added locally and the badge updates, or a clear error explains the failure. What must not happen is a success indication for an action that did not persist — the badge and the actual cart contents must always agree.</t>
        </is>
      </c>
      <c r="J64" s="6" t="inlineStr">
        <is>
          <t>Destructive (resource removal)</t>
        </is>
      </c>
      <c r="K64" s="6" t="inlineStr">
        <is>
          <t>R-14</t>
        </is>
      </c>
      <c r="L64" s="6" t="inlineStr">
        <is>
          <t>No</t>
        </is>
      </c>
      <c r="M64" s="8" t="inlineStr">
        <is>
          <t>Not Run</t>
        </is>
      </c>
      <c r="N64" s="9" t="n"/>
      <c r="O64" s="9" t="n"/>
      <c r="P64" s="9" t="n"/>
      <c r="Q64" s="9" t="n"/>
      <c r="R64" s="9" t="n"/>
    </row>
    <row r="65" ht="92" customHeight="1">
      <c r="A65" s="6" t="inlineStr">
        <is>
          <t>TC-PDP-017</t>
        </is>
      </c>
      <c r="B65" s="6" t="inlineStr">
        <is>
          <t>Product Detail</t>
        </is>
      </c>
      <c r="C65" s="6" t="inlineStr">
        <is>
          <t>Rapid repeated taps on Add to cart add a defined, correct number of items</t>
        </is>
      </c>
      <c r="D65" s="6" t="inlineStr">
        <is>
          <t>Destructive</t>
        </is>
      </c>
      <c r="E65" s="7" t="inlineStr">
        <is>
          <t>P1</t>
        </is>
      </c>
      <c r="F65" s="6" t="inlineStr">
        <is>
          <t>Consideration</t>
        </is>
      </c>
      <c r="G65" s="6" t="inlineStr">
        <is>
          <t>Cart is empty. User is on a product detail page with quantity 1.</t>
        </is>
      </c>
      <c r="H65" s="6" t="inlineStr">
        <is>
          <t>1. Reset App State so the cart is empty
2. Tap Add to cart ten times as fast as possible
3. Note the cart badge
4. Open the cart and compare the actual quantity and total against the badge</t>
        </is>
      </c>
      <c r="I65" s="6" t="inlineStr">
        <is>
          <t>The badge, the cart quantity and the cart total all agree with each other and with the number of taps that registered. A badge saying 10 while the cart holds 3 items is a high-severity defect because it misprices the order.</t>
        </is>
      </c>
      <c r="J65" s="6" t="inlineStr">
        <is>
          <t>Destructive (rapid repeated input)</t>
        </is>
      </c>
      <c r="K65" s="6" t="inlineStr">
        <is>
          <t>R-11</t>
        </is>
      </c>
      <c r="L65" s="6" t="inlineStr">
        <is>
          <t>Yes</t>
        </is>
      </c>
      <c r="M65" s="8" t="inlineStr">
        <is>
          <t>Not Run</t>
        </is>
      </c>
      <c r="N65" s="9" t="n"/>
      <c r="O65" s="9" t="n"/>
      <c r="P65" s="9" t="n"/>
      <c r="Q65" s="9" t="n"/>
      <c r="R65" s="9" t="n"/>
    </row>
    <row r="66" ht="92" customHeight="1">
      <c r="A66" s="6" t="inlineStr">
        <is>
          <t>TC-CART-001</t>
        </is>
      </c>
      <c r="B66" s="6" t="inlineStr">
        <is>
          <t>Cart</t>
        </is>
      </c>
      <c r="C66" s="6" t="inlineStr">
        <is>
          <t>Empty cart shows a helpful empty state with a way forward</t>
        </is>
      </c>
      <c r="D66" s="6" t="inlineStr">
        <is>
          <t>Functional</t>
        </is>
      </c>
      <c r="E66" s="7" t="inlineStr">
        <is>
          <t>P1</t>
        </is>
      </c>
      <c r="F66" s="6" t="inlineStr">
        <is>
          <t>Conversion</t>
        </is>
      </c>
      <c r="G66" s="6" t="inlineStr">
        <is>
          <t>Cart is empty (use Reset App State from the menu).</t>
        </is>
      </c>
      <c r="H66" s="6" t="inlineStr">
        <is>
          <t>1. Open the menu and tap Reset App State
2. Tap the cart icon in the header
3. Observe the screen</t>
        </is>
      </c>
      <c r="I66" s="6" t="inlineStr">
        <is>
          <t>A clear empty-cart message is shown together with an action that takes the user back to shopping. The screen is not blank and shows no error. A dead-end empty state is a conversion defect: the customer has nowhere to go.</t>
        </is>
      </c>
      <c r="J66" s="6" t="inlineStr">
        <is>
          <t>Specification-based (empty-state path)</t>
        </is>
      </c>
      <c r="K66" s="6" t="inlineStr">
        <is>
          <t>R-20</t>
        </is>
      </c>
      <c r="L66" s="6" t="inlineStr">
        <is>
          <t>Yes</t>
        </is>
      </c>
      <c r="M66" s="8" t="inlineStr">
        <is>
          <t>Not Run</t>
        </is>
      </c>
      <c r="N66" s="9" t="n"/>
      <c r="O66" s="9" t="n"/>
      <c r="P66" s="9" t="n"/>
      <c r="Q66" s="9" t="n"/>
      <c r="R66" s="9" t="n"/>
    </row>
    <row r="67" ht="92" customHeight="1">
      <c r="A67" s="6" t="inlineStr">
        <is>
          <t>TC-CART-002</t>
        </is>
      </c>
      <c r="B67" s="6" t="inlineStr">
        <is>
          <t>Cart</t>
        </is>
      </c>
      <c r="C67" s="6" t="inlineStr">
        <is>
          <t>Cart lists every added product with correct name, colour, price and quantity</t>
        </is>
      </c>
      <c r="D67" s="6" t="inlineStr">
        <is>
          <t>Smoke</t>
        </is>
      </c>
      <c r="E67" s="7" t="inlineStr">
        <is>
          <t>P1</t>
        </is>
      </c>
      <c r="F67" s="6" t="inlineStr">
        <is>
          <t>Conversion</t>
        </is>
      </c>
      <c r="G67" s="6" t="inlineStr">
        <is>
          <t>Cart is empty.</t>
        </is>
      </c>
      <c r="H67" s="6" t="inlineStr">
        <is>
          <t>1. Add product A in a specific colour, quantity 2
2. Add product B in a different colour, quantity 1
3. Open the cart
4. Compare every field against what you selected</t>
        </is>
      </c>
      <c r="I67" s="6" t="inlineStr">
        <is>
          <t>Both products are listed with the exact name, colour, unit price and quantity that were chosen. Nothing is missing, duplicated, or attributed to the wrong product.</t>
        </is>
      </c>
      <c r="J67" s="6" t="inlineStr">
        <is>
          <t>Specification-based (use case)</t>
        </is>
      </c>
      <c r="K67" s="6" t="inlineStr">
        <is>
          <t>R-11</t>
        </is>
      </c>
      <c r="L67" s="6" t="inlineStr">
        <is>
          <t>Yes</t>
        </is>
      </c>
      <c r="M67" s="8" t="inlineStr">
        <is>
          <t>Not Run</t>
        </is>
      </c>
      <c r="N67" s="9" t="n"/>
      <c r="O67" s="9" t="n"/>
      <c r="P67" s="9" t="n"/>
      <c r="Q67" s="9" t="n"/>
      <c r="R67" s="9" t="n"/>
    </row>
    <row r="68" ht="92" customHeight="1">
      <c r="A68" s="6" t="inlineStr">
        <is>
          <t>TC-CART-003</t>
        </is>
      </c>
      <c r="B68" s="6" t="inlineStr">
        <is>
          <t>Cart</t>
        </is>
      </c>
      <c r="C68" s="6" t="inlineStr">
        <is>
          <t>Cart total equals the sum of unit price times quantity for every line</t>
        </is>
      </c>
      <c r="D68" s="6" t="inlineStr">
        <is>
          <t>Functional</t>
        </is>
      </c>
      <c r="E68" s="7" t="inlineStr">
        <is>
          <t>P1</t>
        </is>
      </c>
      <c r="F68" s="6" t="inlineStr">
        <is>
          <t>Conversion</t>
        </is>
      </c>
      <c r="G68" s="6" t="inlineStr">
        <is>
          <t>Cart contains at least three items across two different products.</t>
        </is>
      </c>
      <c r="H68" s="6" t="inlineStr">
        <is>
          <t>1. For each cart line, record the unit price and the quantity
2. Calculate the expected subtotal by hand
3. Compare against the total the app displays
4. Note whether delivery is included in the displayed total</t>
        </is>
      </c>
      <c r="I68" s="6" t="inlineStr">
        <is>
          <t>The displayed total matches the hand-calculated figure exactly, to the cent. State clearly whether delivery is included. An arithmetic error here is the highest-severity defect class in the whole application.</t>
        </is>
      </c>
      <c r="J68" s="6" t="inlineStr">
        <is>
          <t>Arithmetic invariant</t>
        </is>
      </c>
      <c r="K68" s="6" t="inlineStr">
        <is>
          <t>R-21</t>
        </is>
      </c>
      <c r="L68" s="6" t="inlineStr">
        <is>
          <t>Yes</t>
        </is>
      </c>
      <c r="M68" s="8" t="inlineStr">
        <is>
          <t>Not Run</t>
        </is>
      </c>
      <c r="N68" s="9" t="n"/>
      <c r="O68" s="9" t="n"/>
      <c r="P68" s="9" t="n"/>
      <c r="Q68" s="9" t="n"/>
      <c r="R68" s="9" t="n"/>
    </row>
    <row r="69" ht="92" customHeight="1">
      <c r="A69" s="6" t="inlineStr">
        <is>
          <t>TC-CART-004</t>
        </is>
      </c>
      <c r="B69" s="6" t="inlineStr">
        <is>
          <t>Cart</t>
        </is>
      </c>
      <c r="C69" s="6" t="inlineStr">
        <is>
          <t>Increasing quantity inside the cart updates the line and the total correctly</t>
        </is>
      </c>
      <c r="D69" s="6" t="inlineStr">
        <is>
          <t>Functional</t>
        </is>
      </c>
      <c r="E69" s="7" t="inlineStr">
        <is>
          <t>P1</t>
        </is>
      </c>
      <c r="F69" s="6" t="inlineStr">
        <is>
          <t>Conversion</t>
        </is>
      </c>
      <c r="G69" s="6" t="inlineStr">
        <is>
          <t>Cart contains one product with quantity 1.</t>
        </is>
      </c>
      <c r="H69" s="6" t="inlineStr">
        <is>
          <t>1. Record the unit price and the current total
2. Increase the quantity to 3 using the cart's stepper
3. Observe the line quantity, the badge and the total</t>
        </is>
      </c>
      <c r="I69" s="6" t="inlineStr">
        <is>
          <t>The quantity shows 3, the badge shows 3, and the total equals three times the unit price. All three update together — a total that lags behind the quantity by one interaction is a real defect.</t>
        </is>
      </c>
      <c r="J69" s="6" t="inlineStr">
        <is>
          <t>Arithmetic invariant / state transition</t>
        </is>
      </c>
      <c r="K69" s="6" t="inlineStr">
        <is>
          <t>R-21</t>
        </is>
      </c>
      <c r="L69" s="6" t="inlineStr">
        <is>
          <t>Yes</t>
        </is>
      </c>
      <c r="M69" s="8" t="inlineStr">
        <is>
          <t>Not Run</t>
        </is>
      </c>
      <c r="N69" s="9" t="n"/>
      <c r="O69" s="9" t="n"/>
      <c r="P69" s="9" t="n"/>
      <c r="Q69" s="9" t="n"/>
      <c r="R69" s="9" t="n"/>
    </row>
    <row r="70" ht="92" customHeight="1">
      <c r="A70" s="6" t="inlineStr">
        <is>
          <t>TC-CART-005</t>
        </is>
      </c>
      <c r="B70" s="6" t="inlineStr">
        <is>
          <t>Cart</t>
        </is>
      </c>
      <c r="C70" s="6" t="inlineStr">
        <is>
          <t>Decreasing quantity inside the cart updates the line and the total correctly</t>
        </is>
      </c>
      <c r="D70" s="6" t="inlineStr">
        <is>
          <t>Functional</t>
        </is>
      </c>
      <c r="E70" s="7" t="inlineStr">
        <is>
          <t>P1</t>
        </is>
      </c>
      <c r="F70" s="6" t="inlineStr">
        <is>
          <t>Conversion</t>
        </is>
      </c>
      <c r="G70" s="6" t="inlineStr">
        <is>
          <t>Cart contains one product with quantity 3.</t>
        </is>
      </c>
      <c r="H70" s="6" t="inlineStr">
        <is>
          <t>1. Record the total
2. Decrease the quantity to 1
3. Observe the line quantity, the badge and the total</t>
        </is>
      </c>
      <c r="I70" s="6" t="inlineStr">
        <is>
          <t>The quantity shows 1, the badge shows 1, and the total equals one unit price. The total decreases by exactly the unit price per decrement.</t>
        </is>
      </c>
      <c r="J70" s="6" t="inlineStr">
        <is>
          <t>Arithmetic invariant / state transition</t>
        </is>
      </c>
      <c r="K70" s="6" t="inlineStr">
        <is>
          <t>R-21</t>
        </is>
      </c>
      <c r="L70" s="6" t="inlineStr">
        <is>
          <t>Yes</t>
        </is>
      </c>
      <c r="M70" s="8" t="inlineStr">
        <is>
          <t>Not Run</t>
        </is>
      </c>
      <c r="N70" s="9" t="n"/>
      <c r="O70" s="9" t="n"/>
      <c r="P70" s="9" t="n"/>
      <c r="Q70" s="9" t="n"/>
      <c r="R70" s="9" t="n"/>
    </row>
    <row r="71" ht="92" customHeight="1">
      <c r="A71" s="6" t="inlineStr">
        <is>
          <t>TC-CART-006</t>
        </is>
      </c>
      <c r="B71" s="6" t="inlineStr">
        <is>
          <t>Cart</t>
        </is>
      </c>
      <c r="C71" s="6" t="inlineStr">
        <is>
          <t>Decreasing quantity to zero either removes the line or is prevented</t>
        </is>
      </c>
      <c r="D71" s="6" t="inlineStr">
        <is>
          <t>Boundary</t>
        </is>
      </c>
      <c r="E71" s="7" t="inlineStr">
        <is>
          <t>P1</t>
        </is>
      </c>
      <c r="F71" s="6" t="inlineStr">
        <is>
          <t>Conversion</t>
        </is>
      </c>
      <c r="G71" s="6" t="inlineStr">
        <is>
          <t>Cart contains one product with quantity 1.</t>
        </is>
      </c>
      <c r="H71" s="6" t="inlineStr">
        <is>
          <t>1. Tap the decrease control on that line
2. Observe whether the line is removed, the quantity stops at 1, or the quantity becomes 0
3. Check the total and the badge afterwards</t>
        </is>
      </c>
      <c r="I71" s="6" t="inlineStr">
        <is>
          <t>Either the line is removed cleanly with the total and badge updated, or the decrement stops at 1. A line sitting in the cart with quantity 0 while still contributing to the total is a defect.</t>
        </is>
      </c>
      <c r="J71" s="6" t="inlineStr">
        <is>
          <t>Boundary value analysis (lower bound)</t>
        </is>
      </c>
      <c r="K71" s="6" t="inlineStr">
        <is>
          <t>R-21</t>
        </is>
      </c>
      <c r="L71" s="6" t="inlineStr">
        <is>
          <t>Yes</t>
        </is>
      </c>
      <c r="M71" s="8" t="inlineStr">
        <is>
          <t>Not Run</t>
        </is>
      </c>
      <c r="N71" s="9" t="n"/>
      <c r="O71" s="9" t="n"/>
      <c r="P71" s="9" t="n"/>
      <c r="Q71" s="9" t="n"/>
      <c r="R71" s="9" t="n"/>
    </row>
    <row r="72" ht="92" customHeight="1">
      <c r="A72" s="6" t="inlineStr">
        <is>
          <t>TC-CART-007</t>
        </is>
      </c>
      <c r="B72" s="6" t="inlineStr">
        <is>
          <t>Cart</t>
        </is>
      </c>
      <c r="C72" s="6" t="inlineStr">
        <is>
          <t>Remove item deletes only the intended line</t>
        </is>
      </c>
      <c r="D72" s="6" t="inlineStr">
        <is>
          <t>Functional</t>
        </is>
      </c>
      <c r="E72" s="7" t="inlineStr">
        <is>
          <t>P1</t>
        </is>
      </c>
      <c r="F72" s="6" t="inlineStr">
        <is>
          <t>Conversion</t>
        </is>
      </c>
      <c r="G72" s="6" t="inlineStr">
        <is>
          <t>Cart contains three different products.</t>
        </is>
      </c>
      <c r="H72" s="6" t="inlineStr">
        <is>
          <t>1. Record all three product names and the total
2. Remove the middle line
3. Observe the remaining lines, the badge and the total</t>
        </is>
      </c>
      <c r="I72" s="6" t="inlineStr">
        <is>
          <t>Exactly the middle product is gone. The other two remain unchanged. The badge and total both reduce by precisely the removed line's contribution. Removing the wrong line is a classic list-index defect.</t>
        </is>
      </c>
      <c r="J72" s="6" t="inlineStr">
        <is>
          <t>State transition testing</t>
        </is>
      </c>
      <c r="K72" s="6" t="inlineStr">
        <is>
          <t>R-21</t>
        </is>
      </c>
      <c r="L72" s="6" t="inlineStr">
        <is>
          <t>Yes</t>
        </is>
      </c>
      <c r="M72" s="8" t="inlineStr">
        <is>
          <t>Not Run</t>
        </is>
      </c>
      <c r="N72" s="9" t="n"/>
      <c r="O72" s="9" t="n"/>
      <c r="P72" s="9" t="n"/>
      <c r="Q72" s="9" t="n"/>
      <c r="R72" s="9" t="n"/>
    </row>
    <row r="73" ht="92" customHeight="1">
      <c r="A73" s="6" t="inlineStr">
        <is>
          <t>TC-CART-008</t>
        </is>
      </c>
      <c r="B73" s="6" t="inlineStr">
        <is>
          <t>Cart</t>
        </is>
      </c>
      <c r="C73" s="6" t="inlineStr">
        <is>
          <t>Removing every item returns the cart to its empty state</t>
        </is>
      </c>
      <c r="D73" s="6" t="inlineStr">
        <is>
          <t>Functional</t>
        </is>
      </c>
      <c r="E73" s="10" t="inlineStr">
        <is>
          <t>P2</t>
        </is>
      </c>
      <c r="F73" s="6" t="inlineStr">
        <is>
          <t>Conversion</t>
        </is>
      </c>
      <c r="G73" s="6" t="inlineStr">
        <is>
          <t>Cart contains two products.</t>
        </is>
      </c>
      <c r="H73" s="6" t="inlineStr">
        <is>
          <t>1. Remove the first line
2. Remove the second line
3. Observe the screen and the badge</t>
        </is>
      </c>
      <c r="I73" s="6" t="inlineStr">
        <is>
          <t>The empty-cart message and the shopping action reappear, and the badge shows an empty cart. The screen must not be left blank or show a total of zero with no explanation.</t>
        </is>
      </c>
      <c r="J73" s="6" t="inlineStr">
        <is>
          <t>State transition testing</t>
        </is>
      </c>
      <c r="K73" s="6" t="inlineStr">
        <is>
          <t>R-20</t>
        </is>
      </c>
      <c r="L73" s="6" t="inlineStr">
        <is>
          <t>Yes</t>
        </is>
      </c>
      <c r="M73" s="8" t="inlineStr">
        <is>
          <t>Not Run</t>
        </is>
      </c>
      <c r="N73" s="9" t="n"/>
      <c r="O73" s="9" t="n"/>
      <c r="P73" s="9" t="n"/>
      <c r="Q73" s="9" t="n"/>
      <c r="R73" s="9" t="n"/>
    </row>
    <row r="74" ht="92" customHeight="1">
      <c r="A74" s="6" t="inlineStr">
        <is>
          <t>TC-CART-009</t>
        </is>
      </c>
      <c r="B74" s="6" t="inlineStr">
        <is>
          <t>Cart</t>
        </is>
      </c>
      <c r="C74" s="6" t="inlineStr">
        <is>
          <t>Cart contents survive an app restart</t>
        </is>
      </c>
      <c r="D74" s="6" t="inlineStr">
        <is>
          <t>Functional</t>
        </is>
      </c>
      <c r="E74" s="7" t="inlineStr">
        <is>
          <t>P1</t>
        </is>
      </c>
      <c r="F74" s="6" t="inlineStr">
        <is>
          <t>Conversion</t>
        </is>
      </c>
      <c r="G74" s="6" t="inlineStr">
        <is>
          <t>Cart contains two products with known quantities.</t>
        </is>
      </c>
      <c r="H74" s="6" t="inlineStr">
        <is>
          <t>1. Record the exact cart contents, quantities and total
2. Force-stop the app: adb shell am force-stop com.saucelabs.mydemoapp.android
3. Relaunch the app and open the cart
4. Compare against what you recorded</t>
        </is>
      </c>
      <c r="I74" s="6" t="inlineStr">
        <is>
          <t>Record the actual behaviour precisely. If the cart is identical — same products, colours, quantities and total — that is the desirable outcome. If it is lost, that is a High-severity finding regardless of intent: silent loss of a cart is one of the most damaging defects in e-commerce, because the customer usually does not rebuild it.</t>
        </is>
      </c>
      <c r="J74" s="6" t="inlineStr">
        <is>
          <t>State transition testing (process death)</t>
        </is>
      </c>
      <c r="K74" s="6" t="inlineStr">
        <is>
          <t>R-05</t>
        </is>
      </c>
      <c r="L74" s="6" t="inlineStr">
        <is>
          <t>Yes</t>
        </is>
      </c>
      <c r="M74" s="8" t="inlineStr">
        <is>
          <t>Not Run</t>
        </is>
      </c>
      <c r="N74" s="9" t="n"/>
      <c r="O74" s="9" t="n"/>
      <c r="P74" s="9" t="n"/>
      <c r="Q74" s="9" t="n"/>
      <c r="R74" s="9" t="n"/>
    </row>
    <row r="75" ht="92" customHeight="1">
      <c r="A75" s="6" t="inlineStr">
        <is>
          <t>TC-CART-010</t>
        </is>
      </c>
      <c r="B75" s="6" t="inlineStr">
        <is>
          <t>Cart</t>
        </is>
      </c>
      <c r="C75" s="6" t="inlineStr">
        <is>
          <t>Cart survives the app being backgrounded for an extended period</t>
        </is>
      </c>
      <c r="D75" s="6" t="inlineStr">
        <is>
          <t>Functional</t>
        </is>
      </c>
      <c r="E75" s="10" t="inlineStr">
        <is>
          <t>P2</t>
        </is>
      </c>
      <c r="F75" s="6" t="inlineStr">
        <is>
          <t>Conversion</t>
        </is>
      </c>
      <c r="G75" s="6" t="inlineStr">
        <is>
          <t>Cart contains two products.</t>
        </is>
      </c>
      <c r="H75" s="6" t="inlineStr">
        <is>
          <t>1. Record the cart contents and total
2. Background the app with the home gesture
3. Wait ten minutes with the screen locked
4. Return to the app from recents and open the cart</t>
        </is>
      </c>
      <c r="I75" s="6" t="inlineStr">
        <is>
          <t>The cart is unchanged and the app resumes without a crash or a restart to the first screen. Losing the cart to ordinary backgrounding would affect a large share of real sessions.</t>
        </is>
      </c>
      <c r="J75" s="6" t="inlineStr">
        <is>
          <t>State transition testing (lifecycle)</t>
        </is>
      </c>
      <c r="K75" s="6" t="inlineStr">
        <is>
          <t>R-05</t>
        </is>
      </c>
      <c r="L75" s="6" t="inlineStr">
        <is>
          <t>No</t>
        </is>
      </c>
      <c r="M75" s="8" t="inlineStr">
        <is>
          <t>Not Run</t>
        </is>
      </c>
      <c r="N75" s="9" t="n"/>
      <c r="O75" s="9" t="n"/>
      <c r="P75" s="9" t="n"/>
      <c r="Q75" s="9" t="n"/>
      <c r="R75" s="9" t="n"/>
    </row>
    <row r="76" ht="92" customHeight="1">
      <c r="A76" s="6" t="inlineStr">
        <is>
          <t>TC-CART-011</t>
        </is>
      </c>
      <c r="B76" s="6" t="inlineStr">
        <is>
          <t>Cart</t>
        </is>
      </c>
      <c r="C76" s="6" t="inlineStr">
        <is>
          <t>Proceed to checkout from an empty cart is prevented</t>
        </is>
      </c>
      <c r="D76" s="6" t="inlineStr">
        <is>
          <t>Negative</t>
        </is>
      </c>
      <c r="E76" s="7" t="inlineStr">
        <is>
          <t>P1</t>
        </is>
      </c>
      <c r="F76" s="6" t="inlineStr">
        <is>
          <t>Conversion</t>
        </is>
      </c>
      <c r="G76" s="6" t="inlineStr">
        <is>
          <t>Cart is empty.</t>
        </is>
      </c>
      <c r="H76" s="6" t="inlineStr">
        <is>
          <t>1. Reset App State so the cart is empty
2. Open the cart
3. Attempt to proceed to checkout by any route, including the header and any visible button</t>
        </is>
      </c>
      <c r="I76" s="6" t="inlineStr">
        <is>
          <t>There is no way to reach checkout with an empty cart. Either no checkout control is offered, or it is disabled. Reaching a payment screen with nothing to buy is a functional defect.</t>
        </is>
      </c>
      <c r="J76" s="6" t="inlineStr">
        <is>
          <t>Negative path / guard condition</t>
        </is>
      </c>
      <c r="K76" s="6" t="inlineStr">
        <is>
          <t>R-20</t>
        </is>
      </c>
      <c r="L76" s="6" t="inlineStr">
        <is>
          <t>Yes</t>
        </is>
      </c>
      <c r="M76" s="8" t="inlineStr">
        <is>
          <t>Not Run</t>
        </is>
      </c>
      <c r="N76" s="9" t="n"/>
      <c r="O76" s="9" t="n"/>
      <c r="P76" s="9" t="n"/>
      <c r="Q76" s="9" t="n"/>
      <c r="R76" s="9" t="n"/>
    </row>
    <row r="77" ht="92" customHeight="1">
      <c r="A77" s="6" t="inlineStr">
        <is>
          <t>TC-CART-012</t>
        </is>
      </c>
      <c r="B77" s="6" t="inlineStr">
        <is>
          <t>Cart</t>
        </is>
      </c>
      <c r="C77" s="6" t="inlineStr">
        <is>
          <t>Rapid repeated taps on the remove control do not remove extra items</t>
        </is>
      </c>
      <c r="D77" s="6" t="inlineStr">
        <is>
          <t>Destructive</t>
        </is>
      </c>
      <c r="E77" s="10" t="inlineStr">
        <is>
          <t>P2</t>
        </is>
      </c>
      <c r="F77" s="6" t="inlineStr">
        <is>
          <t>Conversion</t>
        </is>
      </c>
      <c r="G77" s="6" t="inlineStr">
        <is>
          <t>Cart contains three different products.</t>
        </is>
      </c>
      <c r="H77" s="6" t="inlineStr">
        <is>
          <t>1. Record all three lines
2. Tap the remove control on the first line ten times in under two seconds
3. Observe the remaining lines, the badge and the total</t>
        </is>
      </c>
      <c r="I77" s="6" t="inlineStr">
        <is>
          <t>Exactly one line is removed. The remaining two are intact and the total matches them. Removing two or three lines from one intended action is an unguarded-handler defect.</t>
        </is>
      </c>
      <c r="J77" s="6" t="inlineStr">
        <is>
          <t>Destructive (rapid repeated input)</t>
        </is>
      </c>
      <c r="K77" s="6" t="inlineStr">
        <is>
          <t>R-15</t>
        </is>
      </c>
      <c r="L77" s="6" t="inlineStr">
        <is>
          <t>No</t>
        </is>
      </c>
      <c r="M77" s="8" t="inlineStr">
        <is>
          <t>Not Run</t>
        </is>
      </c>
      <c r="N77" s="9" t="n"/>
      <c r="O77" s="9" t="n"/>
      <c r="P77" s="9" t="n"/>
      <c r="Q77" s="9" t="n"/>
      <c r="R77" s="9" t="n"/>
    </row>
    <row r="78" ht="92" customHeight="1">
      <c r="A78" s="6" t="inlineStr">
        <is>
          <t>TC-CART-013</t>
        </is>
      </c>
      <c r="B78" s="6" t="inlineStr">
        <is>
          <t>Cart</t>
        </is>
      </c>
      <c r="C78" s="6" t="inlineStr">
        <is>
          <t>Cart layout holds up with a large number of items</t>
        </is>
      </c>
      <c r="D78" s="6" t="inlineStr">
        <is>
          <t>Destructive</t>
        </is>
      </c>
      <c r="E78" s="11" t="inlineStr">
        <is>
          <t>P3</t>
        </is>
      </c>
      <c r="F78" s="6" t="inlineStr">
        <is>
          <t>Conversion</t>
        </is>
      </c>
      <c r="G78" s="6" t="inlineStr">
        <is>
          <t>Cart is empty.</t>
        </is>
      </c>
      <c r="H78" s="6" t="inlineStr">
        <is>
          <t>1. Add every product in the catalogue to the cart, several of them at a quantity above five
2. Open the cart and scroll through the whole list
3. Verify the total by hand against every line
4. Watch for layout breakage, overlapping text and scroll stutter</t>
        </is>
      </c>
      <c r="I78" s="6" t="inlineStr">
        <is>
          <t>All lines render correctly and are scrollable. The total is arithmetically correct across all lines. Neither the layout nor the arithmetic degrades as the list grows.</t>
        </is>
      </c>
      <c r="J78" s="6" t="inlineStr">
        <is>
          <t>Destructive (volume / stress)</t>
        </is>
      </c>
      <c r="K78" s="6" t="inlineStr">
        <is>
          <t>R-21</t>
        </is>
      </c>
      <c r="L78" s="6" t="inlineStr">
        <is>
          <t>No</t>
        </is>
      </c>
      <c r="M78" s="8" t="inlineStr">
        <is>
          <t>Not Run</t>
        </is>
      </c>
      <c r="N78" s="9" t="n"/>
      <c r="O78" s="9" t="n"/>
      <c r="P78" s="9" t="n"/>
      <c r="Q78" s="9" t="n"/>
      <c r="R78" s="9" t="n"/>
    </row>
    <row r="79" ht="92" customHeight="1">
      <c r="A79" s="6" t="inlineStr">
        <is>
          <t>TC-CART-014</t>
        </is>
      </c>
      <c r="B79" s="6" t="inlineStr">
        <is>
          <t>Cart</t>
        </is>
      </c>
      <c r="C79" s="6" t="inlineStr">
        <is>
          <t>Cart is fully navigable with a screen reader</t>
        </is>
      </c>
      <c r="D79" s="6" t="inlineStr">
        <is>
          <t>Accessibility</t>
        </is>
      </c>
      <c r="E79" s="10" t="inlineStr">
        <is>
          <t>P2</t>
        </is>
      </c>
      <c r="F79" s="6" t="inlineStr">
        <is>
          <t>Conversion</t>
        </is>
      </c>
      <c r="G79" s="6" t="inlineStr">
        <is>
          <t>TalkBack enabled. Cart contains two products.</t>
        </is>
      </c>
      <c r="H79" s="6" t="inlineStr">
        <is>
          <t>1. Traverse the cart screen with TalkBack
2. Note the announcement for each line, each stepper control and each remove control
3. Attempt to change a quantity and remove a line using TalkBack only</t>
        </is>
      </c>
      <c r="I79" s="6" t="inlineStr">
        <is>
          <t>Every line announces the product, its quantity and its price. Stepper and remove controls announce their action and which product they affect — a bare 'button' gives a blind user no way to know what they are about to delete.</t>
        </is>
      </c>
      <c r="J79" s="6" t="inlineStr">
        <is>
          <t>Accessibility (WCAG 1.1.1, 2.4.6, 4.1.2)</t>
        </is>
      </c>
      <c r="K79" s="6" t="inlineStr">
        <is>
          <t>R-13</t>
        </is>
      </c>
      <c r="L79" s="6" t="inlineStr">
        <is>
          <t>No</t>
        </is>
      </c>
      <c r="M79" s="8" t="inlineStr">
        <is>
          <t>Not Run</t>
        </is>
      </c>
      <c r="N79" s="9" t="n"/>
      <c r="O79" s="9" t="n"/>
      <c r="P79" s="9" t="n"/>
      <c r="Q79" s="9" t="n"/>
      <c r="R79" s="9" t="n"/>
    </row>
    <row r="80" ht="92" customHeight="1">
      <c r="A80" s="6" t="inlineStr">
        <is>
          <t>TC-CART-015</t>
        </is>
      </c>
      <c r="B80" s="6" t="inlineStr">
        <is>
          <t>Cart</t>
        </is>
      </c>
      <c r="C80" s="6" t="inlineStr">
        <is>
          <t>Cart totals remain readable at maximum font size</t>
        </is>
      </c>
      <c r="D80" s="6" t="inlineStr">
        <is>
          <t>Accessibility</t>
        </is>
      </c>
      <c r="E80" s="10" t="inlineStr">
        <is>
          <t>P2</t>
        </is>
      </c>
      <c r="F80" s="6" t="inlineStr">
        <is>
          <t>Conversion</t>
        </is>
      </c>
      <c r="G80" s="6" t="inlineStr">
        <is>
          <t>Font and display size set to maximum. Cart contains two products.</t>
        </is>
      </c>
      <c r="H80" s="6" t="inlineStr">
        <is>
          <t>1. Set font and display size to maximum
2. Open the cart
3. Inspect every price, quantity and the total
4. Confirm the checkout control is fully visible and tappable</t>
        </is>
      </c>
      <c r="I80" s="6" t="inlineStr">
        <is>
          <t>Every monetary value is fully readable and never truncated. The checkout control remains on screen and tappable. A truncated total is a commercial defect: the customer cannot see what they are about to pay.</t>
        </is>
      </c>
      <c r="J80" s="6" t="inlineStr">
        <is>
          <t>Accessibility (WCAG 1.4.4)</t>
        </is>
      </c>
      <c r="K80" s="6" t="inlineStr">
        <is>
          <t>R-13</t>
        </is>
      </c>
      <c r="L80" s="6" t="inlineStr">
        <is>
          <t>No</t>
        </is>
      </c>
      <c r="M80" s="8" t="inlineStr">
        <is>
          <t>Not Run</t>
        </is>
      </c>
      <c r="N80" s="9" t="n"/>
      <c r="O80" s="9" t="n"/>
      <c r="P80" s="9" t="n"/>
      <c r="Q80" s="9" t="n"/>
      <c r="R80" s="9" t="n"/>
    </row>
    <row r="81" ht="92" customHeight="1">
      <c r="A81" s="6" t="inlineStr">
        <is>
          <t>TC-CHKS-001</t>
        </is>
      </c>
      <c r="B81" s="6" t="inlineStr">
        <is>
          <t>Checkout — Shipping</t>
        </is>
      </c>
      <c r="C81" s="6" t="inlineStr">
        <is>
          <t>Checkout requires login when the user is not authenticated</t>
        </is>
      </c>
      <c r="D81" s="6" t="inlineStr">
        <is>
          <t>Functional</t>
        </is>
      </c>
      <c r="E81" s="7" t="inlineStr">
        <is>
          <t>P1</t>
        </is>
      </c>
      <c r="F81" s="6" t="inlineStr">
        <is>
          <t>Conversion</t>
        </is>
      </c>
      <c r="G81" s="6" t="inlineStr">
        <is>
          <t>User is logged out. Cart contains at least one item.</t>
        </is>
      </c>
      <c r="H81" s="6" t="inlineStr">
        <is>
          <t>1. Log out from the menu
2. Add a product to the cart
3. Open the cart and proceed to checkout
4. Observe the screen presented</t>
        </is>
      </c>
      <c r="I81" s="6" t="inlineStr">
        <is>
          <t>The user is taken to the Login screen rather than straight into checkout. After a successful login the user continues to checkout with the cart intact — being dropped back at the Catalog with an untouched cart is a conversion defect.</t>
        </is>
      </c>
      <c r="J81" s="6" t="inlineStr">
        <is>
          <t>Specification-based (guard condition)</t>
        </is>
      </c>
      <c r="K81" s="6" t="inlineStr">
        <is>
          <t>R-22</t>
        </is>
      </c>
      <c r="L81" s="6" t="inlineStr">
        <is>
          <t>Yes</t>
        </is>
      </c>
      <c r="M81" s="8" t="inlineStr">
        <is>
          <t>Not Run</t>
        </is>
      </c>
      <c r="N81" s="9" t="n"/>
      <c r="O81" s="9" t="n"/>
      <c r="P81" s="9" t="n"/>
      <c r="Q81" s="9" t="n"/>
      <c r="R81" s="9" t="n"/>
    </row>
    <row r="82" ht="92" customHeight="1">
      <c r="A82" s="6" t="inlineStr">
        <is>
          <t>TC-CHKS-002</t>
        </is>
      </c>
      <c r="B82" s="6" t="inlineStr">
        <is>
          <t>Checkout — Shipping</t>
        </is>
      </c>
      <c r="C82" s="6" t="inlineStr">
        <is>
          <t>Shipping address form renders all its fields with mandatory markers</t>
        </is>
      </c>
      <c r="D82" s="6" t="inlineStr">
        <is>
          <t>Smoke</t>
        </is>
      </c>
      <c r="E82" s="7" t="inlineStr">
        <is>
          <t>P1</t>
        </is>
      </c>
      <c r="F82" s="6" t="inlineStr">
        <is>
          <t>Conversion</t>
        </is>
      </c>
      <c r="G82" s="6" t="inlineStr">
        <is>
          <t>User is logged in with items in the cart and has proceeded to checkout.</t>
        </is>
      </c>
      <c r="H82" s="6" t="inlineStr">
        <is>
          <t>1. Reach the shipping address screen
2. List every field on screen
3. Note which fields are marked mandatory and which are optional</t>
        </is>
      </c>
      <c r="I82" s="6" t="inlineStr">
        <is>
          <t>The form shows full name, two address lines, city, state or region, zip code and country. Mandatory fields are marked consistently (typically with an asterisk) and optional fields are not. Inconsistent marking misleads the user into avoidable errors.</t>
        </is>
      </c>
      <c r="J82" s="6" t="inlineStr">
        <is>
          <t>Specification-based (use case)</t>
        </is>
      </c>
      <c r="K82" s="6" t="inlineStr">
        <is>
          <t>R-22</t>
        </is>
      </c>
      <c r="L82" s="6" t="inlineStr">
        <is>
          <t>Yes</t>
        </is>
      </c>
      <c r="M82" s="8" t="inlineStr">
        <is>
          <t>Not Run</t>
        </is>
      </c>
      <c r="N82" s="9" t="n"/>
      <c r="O82" s="9" t="n"/>
      <c r="P82" s="9" t="n"/>
      <c r="Q82" s="9" t="n"/>
      <c r="R82" s="9" t="n"/>
    </row>
    <row r="83" ht="92" customHeight="1">
      <c r="A83" s="6" t="inlineStr">
        <is>
          <t>TC-CHKS-003</t>
        </is>
      </c>
      <c r="B83" s="6" t="inlineStr">
        <is>
          <t>Checkout — Shipping</t>
        </is>
      </c>
      <c r="C83" s="6" t="inlineStr">
        <is>
          <t>Submitting the shipping form with every field empty flags every mandatory field</t>
        </is>
      </c>
      <c r="D83" s="6" t="inlineStr">
        <is>
          <t>Negative</t>
        </is>
      </c>
      <c r="E83" s="7" t="inlineStr">
        <is>
          <t>P1</t>
        </is>
      </c>
      <c r="F83" s="6" t="inlineStr">
        <is>
          <t>Conversion</t>
        </is>
      </c>
      <c r="G83" s="6" t="inlineStr">
        <is>
          <t>User is on the shipping address screen with all fields empty.</t>
        </is>
      </c>
      <c r="H83" s="6" t="inlineStr">
        <is>
          <t>1. Tap the continue-to-payment control without entering anything
2. Observe which fields are flagged
3. Confirm no navigation occurred</t>
        </is>
      </c>
      <c r="I83" s="6" t="inlineStr">
        <is>
          <t>Every mandatory field shows its own validation error at once. Optional fields are not flagged. The user stays on the shipping screen. Revealing errors one at a time turns a single correction into several round trips.</t>
        </is>
      </c>
      <c r="J83" s="6" t="inlineStr">
        <is>
          <t>Equivalence partitioning (all-absent class)</t>
        </is>
      </c>
      <c r="K83" s="6" t="inlineStr">
        <is>
          <t>R-23</t>
        </is>
      </c>
      <c r="L83" s="6" t="inlineStr">
        <is>
          <t>Yes</t>
        </is>
      </c>
      <c r="M83" s="8" t="inlineStr">
        <is>
          <t>Not Run</t>
        </is>
      </c>
      <c r="N83" s="9" t="n"/>
      <c r="O83" s="9" t="n"/>
      <c r="P83" s="9" t="n"/>
      <c r="Q83" s="9" t="n"/>
      <c r="R83" s="9" t="n"/>
    </row>
    <row r="84" ht="92" customHeight="1">
      <c r="A84" s="6" t="inlineStr">
        <is>
          <t>TC-CHKS-004</t>
        </is>
      </c>
      <c r="B84" s="6" t="inlineStr">
        <is>
          <t>Checkout — Shipping</t>
        </is>
      </c>
      <c r="C84" s="6" t="inlineStr">
        <is>
          <t>Omitting a single mandatory field blocks progress and flags only that field</t>
        </is>
      </c>
      <c r="D84" s="6" t="inlineStr">
        <is>
          <t>Negative</t>
        </is>
      </c>
      <c r="E84" s="7" t="inlineStr">
        <is>
          <t>P1</t>
        </is>
      </c>
      <c r="F84" s="6" t="inlineStr">
        <is>
          <t>Conversion</t>
        </is>
      </c>
      <c r="G84" s="6" t="inlineStr">
        <is>
          <t>User is on the shipping address screen.</t>
        </is>
      </c>
      <c r="H84" s="6" t="inlineStr">
        <is>
          <t>1. Fill every mandatory field with valid data except the zip code
2. Tap continue to payment
3. Observe which field is flagged
4. Repeat, omitting the city instead</t>
        </is>
      </c>
      <c r="I84" s="6" t="inlineStr">
        <is>
          <t>Only the omitted field is flagged each time and navigation is blocked. Correctly filled fields retain their values — clearing the whole form on a validation error is a serious usability defect.</t>
        </is>
      </c>
      <c r="J84" s="6" t="inlineStr">
        <is>
          <t>Equivalence partitioning (single-absent class)</t>
        </is>
      </c>
      <c r="K84" s="6" t="inlineStr">
        <is>
          <t>R-23</t>
        </is>
      </c>
      <c r="L84" s="6" t="inlineStr">
        <is>
          <t>Yes</t>
        </is>
      </c>
      <c r="M84" s="8" t="inlineStr">
        <is>
          <t>Not Run</t>
        </is>
      </c>
      <c r="N84" s="9" t="n"/>
      <c r="O84" s="9" t="n"/>
      <c r="P84" s="9" t="n"/>
      <c r="Q84" s="9" t="n"/>
      <c r="R84" s="9" t="n"/>
    </row>
    <row r="85" ht="92" customHeight="1">
      <c r="A85" s="6" t="inlineStr">
        <is>
          <t>TC-CHKS-005</t>
        </is>
      </c>
      <c r="B85" s="6" t="inlineStr">
        <is>
          <t>Checkout — Shipping</t>
        </is>
      </c>
      <c r="C85" s="6" t="inlineStr">
        <is>
          <t>Valid shipping data allows progression to the payment screen</t>
        </is>
      </c>
      <c r="D85" s="6" t="inlineStr">
        <is>
          <t>Smoke</t>
        </is>
      </c>
      <c r="E85" s="7" t="inlineStr">
        <is>
          <t>P1</t>
        </is>
      </c>
      <c r="F85" s="6" t="inlineStr">
        <is>
          <t>Conversion</t>
        </is>
      </c>
      <c r="G85" s="6" t="inlineStr">
        <is>
          <t>User is on the shipping address screen.</t>
        </is>
      </c>
      <c r="H85" s="6" t="inlineStr">
        <is>
          <t>1. Fill every mandatory field with plausible test data — use a fictional name and address only, never real personal data
2. Leave the optional address line 2 empty
3. Tap continue to payment
4. Observe the resulting screen</t>
        </is>
      </c>
      <c r="I85" s="6" t="inlineStr">
        <is>
          <t>The payment screen opens. The optional field being empty does not block progress. Entered data is retained if the user navigates back.</t>
        </is>
      </c>
      <c r="J85" s="6" t="inlineStr">
        <is>
          <t>Specification-based (happy path)</t>
        </is>
      </c>
      <c r="K85" s="6" t="inlineStr">
        <is>
          <t>R-22</t>
        </is>
      </c>
      <c r="L85" s="6" t="inlineStr">
        <is>
          <t>Yes</t>
        </is>
      </c>
      <c r="M85" s="8" t="inlineStr">
        <is>
          <t>Not Run</t>
        </is>
      </c>
      <c r="N85" s="9" t="n"/>
      <c r="O85" s="9" t="n"/>
      <c r="P85" s="9" t="n"/>
      <c r="Q85" s="9" t="n"/>
      <c r="R85" s="9" t="n"/>
    </row>
    <row r="86" ht="92" customHeight="1">
      <c r="A86" s="6" t="inlineStr">
        <is>
          <t>TC-CHKS-006</t>
        </is>
      </c>
      <c r="B86" s="6" t="inlineStr">
        <is>
          <t>Checkout — Shipping</t>
        </is>
      </c>
      <c r="C86" s="6" t="inlineStr">
        <is>
          <t>Optional fields are genuinely optional</t>
        </is>
      </c>
      <c r="D86" s="6" t="inlineStr">
        <is>
          <t>Functional</t>
        </is>
      </c>
      <c r="E86" s="10" t="inlineStr">
        <is>
          <t>P2</t>
        </is>
      </c>
      <c r="F86" s="6" t="inlineStr">
        <is>
          <t>Conversion</t>
        </is>
      </c>
      <c r="G86" s="6" t="inlineStr">
        <is>
          <t>User is on the shipping address screen.</t>
        </is>
      </c>
      <c r="H86" s="6" t="inlineStr">
        <is>
          <t>1. Fill only the mandatory fields, leaving every field not marked mandatory empty
2. Tap continue to payment</t>
        </is>
      </c>
      <c r="I86" s="6" t="inlineStr">
        <is>
          <t>Progression succeeds. A field marked optional that in fact blocks submission is a defect in either the validation or the label — and either way the user cannot tell which.</t>
        </is>
      </c>
      <c r="J86" s="6" t="inlineStr">
        <is>
          <t>Decision table (mandatory versus optional)</t>
        </is>
      </c>
      <c r="K86" s="6" t="inlineStr">
        <is>
          <t>R-23</t>
        </is>
      </c>
      <c r="L86" s="6" t="inlineStr">
        <is>
          <t>Yes</t>
        </is>
      </c>
      <c r="M86" s="8" t="inlineStr">
        <is>
          <t>Not Run</t>
        </is>
      </c>
      <c r="N86" s="9" t="n"/>
      <c r="O86" s="9" t="n"/>
      <c r="P86" s="9" t="n"/>
      <c r="Q86" s="9" t="n"/>
      <c r="R86" s="9" t="n"/>
    </row>
    <row r="87" ht="92" customHeight="1">
      <c r="A87" s="6" t="inlineStr">
        <is>
          <t>TC-CHKS-007</t>
        </is>
      </c>
      <c r="B87" s="6" t="inlineStr">
        <is>
          <t>Checkout — Shipping</t>
        </is>
      </c>
      <c r="C87" s="6" t="inlineStr">
        <is>
          <t>Zip code field rejects clearly invalid formats or accepts them by documented design</t>
        </is>
      </c>
      <c r="D87" s="6" t="inlineStr">
        <is>
          <t>Input Validation</t>
        </is>
      </c>
      <c r="E87" s="10" t="inlineStr">
        <is>
          <t>P2</t>
        </is>
      </c>
      <c r="F87" s="6" t="inlineStr">
        <is>
          <t>Conversion</t>
        </is>
      </c>
      <c r="G87" s="6" t="inlineStr">
        <is>
          <t>User is on the shipping address screen with all other fields valid.</t>
        </is>
      </c>
      <c r="H87" s="6" t="inlineStr">
        <is>
          <t>1. Enter 'ABCDEF' as the zip code and submit
2. Enter '!!!' as the zip code and submit
3. Enter a 40-digit number as the zip code and submit
4. Record the behaviour for each</t>
        </is>
      </c>
      <c r="I87" s="6" t="inlineStr">
        <is>
          <t>Record exactly what happens for each input. A form that accepts '!!!' as a postal code is a validation gap worth reporting even in a demo app, because an undeliverable address becomes a failed order downstream.</t>
        </is>
      </c>
      <c r="J87" s="6" t="inlineStr">
        <is>
          <t>Equivalence partitioning (format classes)</t>
        </is>
      </c>
      <c r="K87" s="6" t="inlineStr">
        <is>
          <t>R-23</t>
        </is>
      </c>
      <c r="L87" s="6" t="inlineStr">
        <is>
          <t>No</t>
        </is>
      </c>
      <c r="M87" s="8" t="inlineStr">
        <is>
          <t>Not Run</t>
        </is>
      </c>
      <c r="N87" s="9" t="n"/>
      <c r="O87" s="9" t="n"/>
      <c r="P87" s="9" t="n"/>
      <c r="Q87" s="9" t="n"/>
      <c r="R87" s="9" t="n"/>
    </row>
    <row r="88" ht="92" customHeight="1">
      <c r="A88" s="6" t="inlineStr">
        <is>
          <t>TC-CHKS-008</t>
        </is>
      </c>
      <c r="B88" s="6" t="inlineStr">
        <is>
          <t>Checkout — Shipping</t>
        </is>
      </c>
      <c r="C88" s="6" t="inlineStr">
        <is>
          <t>Full name field accepts names with accents, hyphens and apostrophes</t>
        </is>
      </c>
      <c r="D88" s="6" t="inlineStr">
        <is>
          <t>Input Validation</t>
        </is>
      </c>
      <c r="E88" s="10" t="inlineStr">
        <is>
          <t>P2</t>
        </is>
      </c>
      <c r="F88" s="6" t="inlineStr">
        <is>
          <t>Conversion</t>
        </is>
      </c>
      <c r="G88" s="6" t="inlineStr">
        <is>
          <t>User is on the shipping address screen.</t>
        </is>
      </c>
      <c r="H88" s="6" t="inlineStr">
        <is>
          <t>1. Enter 'Anne-Marie O'Brien' and submit
2. Enter 'Björn Müller-Schäfer' and submit
3. Enter 'Ñuñez Ferrão' and submit</t>
        </is>
      </c>
      <c r="I88" s="6" t="inlineStr">
        <is>
          <t>All three are accepted and render correctly with no mojibake or replacement characters. Rejecting apostrophes or accented characters excludes a large share of real European customers, which for a German-market retailer is a substantive defect.</t>
        </is>
      </c>
      <c r="J88" s="6" t="inlineStr">
        <is>
          <t>Equivalence partitioning (character-set classes)</t>
        </is>
      </c>
      <c r="K88" s="6" t="inlineStr">
        <is>
          <t>R-24</t>
        </is>
      </c>
      <c r="L88" s="6" t="inlineStr">
        <is>
          <t>No</t>
        </is>
      </c>
      <c r="M88" s="8" t="inlineStr">
        <is>
          <t>Not Run</t>
        </is>
      </c>
      <c r="N88" s="9" t="n"/>
      <c r="O88" s="9" t="n"/>
      <c r="P88" s="9" t="n"/>
      <c r="Q88" s="9" t="n"/>
      <c r="R88" s="9" t="n"/>
    </row>
    <row r="89" ht="92" customHeight="1">
      <c r="A89" s="6" t="inlineStr">
        <is>
          <t>TC-CHKS-009</t>
        </is>
      </c>
      <c r="B89" s="6" t="inlineStr">
        <is>
          <t>Checkout — Shipping</t>
        </is>
      </c>
      <c r="C89" s="6" t="inlineStr">
        <is>
          <t>Very long values in address fields do not break the layout or the review screen</t>
        </is>
      </c>
      <c r="D89" s="6" t="inlineStr">
        <is>
          <t>Boundary</t>
        </is>
      </c>
      <c r="E89" s="11" t="inlineStr">
        <is>
          <t>P3</t>
        </is>
      </c>
      <c r="F89" s="6" t="inlineStr">
        <is>
          <t>Conversion</t>
        </is>
      </c>
      <c r="G89" s="6" t="inlineStr">
        <is>
          <t>User is on the shipping address screen.</t>
        </is>
      </c>
      <c r="H89" s="6" t="inlineStr">
        <is>
          <t>1. Enter a 200-character string into address line 1
2. Fill the remaining mandatory fields normally and continue
3. Proceed to the review screen and inspect how the address is rendered</t>
        </is>
      </c>
      <c r="I89" s="6" t="inlineStr">
        <is>
          <t>The field either enforces a limit or scrolls. Crucially, the long value must not break the layout of the review screen further along — a defect that only surfaces two screens later is exactly what boundary testing is for.</t>
        </is>
      </c>
      <c r="J89" s="6" t="inlineStr">
        <is>
          <t>Boundary value analysis (upper bound)</t>
        </is>
      </c>
      <c r="K89" s="6" t="inlineStr">
        <is>
          <t>R-23</t>
        </is>
      </c>
      <c r="L89" s="6" t="inlineStr">
        <is>
          <t>No</t>
        </is>
      </c>
      <c r="M89" s="8" t="inlineStr">
        <is>
          <t>Not Run</t>
        </is>
      </c>
      <c r="N89" s="9" t="n"/>
      <c r="O89" s="9" t="n"/>
      <c r="P89" s="9" t="n"/>
      <c r="Q89" s="9" t="n"/>
      <c r="R89" s="9" t="n"/>
    </row>
    <row r="90" ht="92" customHeight="1">
      <c r="A90" s="6" t="inlineStr">
        <is>
          <t>TC-CHKS-010</t>
        </is>
      </c>
      <c r="B90" s="6" t="inlineStr">
        <is>
          <t>Checkout — Shipping</t>
        </is>
      </c>
      <c r="C90" s="6" t="inlineStr">
        <is>
          <t>Script-like input in address fields is treated as plain text throughout checkout</t>
        </is>
      </c>
      <c r="D90" s="6" t="inlineStr">
        <is>
          <t>Input Validation</t>
        </is>
      </c>
      <c r="E90" s="10" t="inlineStr">
        <is>
          <t>P2</t>
        </is>
      </c>
      <c r="F90" s="6" t="inlineStr">
        <is>
          <t>Conversion</t>
        </is>
      </c>
      <c r="G90" s="6" t="inlineStr">
        <is>
          <t>User is on the shipping address screen.</t>
        </is>
      </c>
      <c r="H90" s="6" t="inlineStr">
        <is>
          <t>1. Enter &lt;b&gt;Test&lt;/b&gt; into the full name field
2. Complete the remaining fields and continue to payment
3. Continue to the review screen
4. Observe how the name is rendered on the review screen</t>
        </is>
      </c>
      <c r="I90" s="6" t="inlineStr">
        <is>
          <t>The value is displayed literally as typed, including the angle brackets. If the review screen renders it as bold text, the field content is being interpreted as markup rather than escaped — a real finding worth reporting.</t>
        </is>
      </c>
      <c r="J90" s="6" t="inlineStr">
        <is>
          <t>Input validation / output encoding</t>
        </is>
      </c>
      <c r="K90" s="6" t="inlineStr">
        <is>
          <t>R-03</t>
        </is>
      </c>
      <c r="L90" s="6" t="inlineStr">
        <is>
          <t>No</t>
        </is>
      </c>
      <c r="M90" s="8" t="inlineStr">
        <is>
          <t>Not Run</t>
        </is>
      </c>
      <c r="N90" s="9" t="n"/>
      <c r="O90" s="9" t="n"/>
      <c r="P90" s="9" t="n"/>
      <c r="Q90" s="9" t="n"/>
      <c r="R90" s="9" t="n"/>
    </row>
    <row r="91" ht="92" customHeight="1">
      <c r="A91" s="6" t="inlineStr">
        <is>
          <t>TC-CHKS-011</t>
        </is>
      </c>
      <c r="B91" s="6" t="inlineStr">
        <is>
          <t>Checkout — Shipping</t>
        </is>
      </c>
      <c r="C91" s="6" t="inlineStr">
        <is>
          <t>Back navigation from shipping preserves the cart and the entered data</t>
        </is>
      </c>
      <c r="D91" s="6" t="inlineStr">
        <is>
          <t>Functional</t>
        </is>
      </c>
      <c r="E91" s="10" t="inlineStr">
        <is>
          <t>P2</t>
        </is>
      </c>
      <c r="F91" s="6" t="inlineStr">
        <is>
          <t>Conversion</t>
        </is>
      </c>
      <c r="G91" s="6" t="inlineStr">
        <is>
          <t>User has partially filled the shipping form.</t>
        </is>
      </c>
      <c r="H91" s="6" t="inlineStr">
        <is>
          <t>1. Fill the full name and city fields
2. Press the system back button
3. Note where you land and whether the cart is intact
4. Return to the shipping screen and check whether the two fields are still populated</t>
        </is>
      </c>
      <c r="I91" s="6" t="inlineStr">
        <is>
          <t>The cart is unchanged. Record whether the partially entered address is retained. Losing a half-completed address form on an accidental back press is a well-known abandonment cause.</t>
        </is>
      </c>
      <c r="J91" s="6" t="inlineStr">
        <is>
          <t>State transition testing</t>
        </is>
      </c>
      <c r="K91" s="6" t="inlineStr">
        <is>
          <t>R-10</t>
        </is>
      </c>
      <c r="L91" s="6" t="inlineStr">
        <is>
          <t>No</t>
        </is>
      </c>
      <c r="M91" s="8" t="inlineStr">
        <is>
          <t>Not Run</t>
        </is>
      </c>
      <c r="N91" s="9" t="n"/>
      <c r="O91" s="9" t="n"/>
      <c r="P91" s="9" t="n"/>
      <c r="Q91" s="9" t="n"/>
      <c r="R91" s="9" t="n"/>
    </row>
    <row r="92" ht="92" customHeight="1">
      <c r="A92" s="6" t="inlineStr">
        <is>
          <t>TC-CHKS-012</t>
        </is>
      </c>
      <c r="B92" s="6" t="inlineStr">
        <is>
          <t>Checkout — Shipping</t>
        </is>
      </c>
      <c r="C92" s="6" t="inlineStr">
        <is>
          <t>Keyboard does not obscure the field being typed into</t>
        </is>
      </c>
      <c r="D92" s="6" t="inlineStr">
        <is>
          <t>Usability</t>
        </is>
      </c>
      <c r="E92" s="10" t="inlineStr">
        <is>
          <t>P2</t>
        </is>
      </c>
      <c r="F92" s="6" t="inlineStr">
        <is>
          <t>Conversion</t>
        </is>
      </c>
      <c r="G92" s="6" t="inlineStr">
        <is>
          <t>User is on the shipping address screen.</t>
        </is>
      </c>
      <c r="H92" s="6" t="inlineStr">
        <is>
          <t>1. Tap the last field on the form, near the bottom of the screen
2. Observe whether the on-screen keyboard covers the field or the form scrolls to keep it visible
3. Repeat for each field down the form</t>
        </is>
      </c>
      <c r="I92" s="6" t="inlineStr">
        <is>
          <t>The form scrolls so the focused field and its validation message stay visible above the keyboard. Typing blind into a field hidden behind the keyboard is a common and highly disruptive mobile defect.</t>
        </is>
      </c>
      <c r="J92" s="6" t="inlineStr">
        <is>
          <t>Usability heuristic (visibility of system state)</t>
        </is>
      </c>
      <c r="K92" s="6" t="inlineStr">
        <is>
          <t>R-25</t>
        </is>
      </c>
      <c r="L92" s="6" t="inlineStr">
        <is>
          <t>No</t>
        </is>
      </c>
      <c r="M92" s="8" t="inlineStr">
        <is>
          <t>Not Run</t>
        </is>
      </c>
      <c r="N92" s="9" t="n"/>
      <c r="O92" s="9" t="n"/>
      <c r="P92" s="9" t="n"/>
      <c r="Q92" s="9" t="n"/>
      <c r="R92" s="9" t="n"/>
    </row>
    <row r="93" ht="92" customHeight="1">
      <c r="A93" s="6" t="inlineStr">
        <is>
          <t>TC-CHKS-013</t>
        </is>
      </c>
      <c r="B93" s="6" t="inlineStr">
        <is>
          <t>Checkout — Shipping</t>
        </is>
      </c>
      <c r="C93" s="6" t="inlineStr">
        <is>
          <t>Each field opens the most appropriate keyboard type</t>
        </is>
      </c>
      <c r="D93" s="6" t="inlineStr">
        <is>
          <t>Usability</t>
        </is>
      </c>
      <c r="E93" s="11" t="inlineStr">
        <is>
          <t>P3</t>
        </is>
      </c>
      <c r="F93" s="6" t="inlineStr">
        <is>
          <t>Conversion</t>
        </is>
      </c>
      <c r="G93" s="6" t="inlineStr">
        <is>
          <t>User is on the shipping address screen.</t>
        </is>
      </c>
      <c r="H93" s="6" t="inlineStr">
        <is>
          <t>1. Tap the zip code field and note which keyboard appears
2. Tap the full name field and note the keyboard
3. Tap the city field and note the keyboard</t>
        </is>
      </c>
      <c r="I93" s="6" t="inlineStr">
        <is>
          <t>The zip code field should present a numeric or numeric-first keyboard; text fields present the standard keyboard. Forcing the user to switch keyboard modes manually for a numeric field is a small but real friction defect.</t>
        </is>
      </c>
      <c r="J93" s="6" t="inlineStr">
        <is>
          <t>Usability heuristic (efficiency of use)</t>
        </is>
      </c>
      <c r="K93" s="6" t="inlineStr">
        <is>
          <t>R-25</t>
        </is>
      </c>
      <c r="L93" s="6" t="inlineStr">
        <is>
          <t>No</t>
        </is>
      </c>
      <c r="M93" s="8" t="inlineStr">
        <is>
          <t>Not Run</t>
        </is>
      </c>
      <c r="N93" s="9" t="n"/>
      <c r="O93" s="9" t="n"/>
      <c r="P93" s="9" t="n"/>
      <c r="Q93" s="9" t="n"/>
      <c r="R93" s="9" t="n"/>
    </row>
    <row r="94" ht="92" customHeight="1">
      <c r="A94" s="6" t="inlineStr">
        <is>
          <t>TC-CHKP-001</t>
        </is>
      </c>
      <c r="B94" s="6" t="inlineStr">
        <is>
          <t>Checkout — Payment</t>
        </is>
      </c>
      <c r="C94" s="6" t="inlineStr">
        <is>
          <t>Payment form renders all fields and the billing-address checkbox</t>
        </is>
      </c>
      <c r="D94" s="6" t="inlineStr">
        <is>
          <t>Smoke</t>
        </is>
      </c>
      <c r="E94" s="7" t="inlineStr">
        <is>
          <t>P1</t>
        </is>
      </c>
      <c r="F94" s="6" t="inlineStr">
        <is>
          <t>Conversion</t>
        </is>
      </c>
      <c r="G94" s="6" t="inlineStr">
        <is>
          <t>User has completed the shipping step.</t>
        </is>
      </c>
      <c r="H94" s="6" t="inlineStr">
        <is>
          <t>1. Reach the payment screen
2. List every field and control on screen
3. Read the explanatory text about when the card will be charged</t>
        </is>
      </c>
      <c r="I94" s="6" t="inlineStr">
        <is>
          <t>The form shows card number, expiration date and security code, all marked mandatory, plus a checkbox stating that the billing address matches the shipping address. Text reassuring the user they will not be charged until review is present and legible.</t>
        </is>
      </c>
      <c r="J94" s="6" t="inlineStr">
        <is>
          <t>Specification-based (use case)</t>
        </is>
      </c>
      <c r="K94" s="6" t="inlineStr">
        <is>
          <t>R-26</t>
        </is>
      </c>
      <c r="L94" s="6" t="inlineStr">
        <is>
          <t>Yes</t>
        </is>
      </c>
      <c r="M94" s="8" t="inlineStr">
        <is>
          <t>Not Run</t>
        </is>
      </c>
      <c r="N94" s="9" t="n"/>
      <c r="O94" s="9" t="n"/>
      <c r="P94" s="9" t="n"/>
      <c r="Q94" s="9" t="n"/>
      <c r="R94" s="9" t="n"/>
    </row>
    <row r="95" ht="92" customHeight="1">
      <c r="A95" s="6" t="inlineStr">
        <is>
          <t>TC-CHKP-002</t>
        </is>
      </c>
      <c r="B95" s="6" t="inlineStr">
        <is>
          <t>Checkout — Payment</t>
        </is>
      </c>
      <c r="C95" s="6" t="inlineStr">
        <is>
          <t>Submitting the payment form empty flags every mandatory field</t>
        </is>
      </c>
      <c r="D95" s="6" t="inlineStr">
        <is>
          <t>Negative</t>
        </is>
      </c>
      <c r="E95" s="7" t="inlineStr">
        <is>
          <t>P1</t>
        </is>
      </c>
      <c r="F95" s="6" t="inlineStr">
        <is>
          <t>Conversion</t>
        </is>
      </c>
      <c r="G95" s="6" t="inlineStr">
        <is>
          <t>User is on the payment screen with all fields empty.</t>
        </is>
      </c>
      <c r="H95" s="6" t="inlineStr">
        <is>
          <t>1. Tap the review-order control without entering anything
2. Observe which fields are flagged
3. Confirm no navigation occurred</t>
        </is>
      </c>
      <c r="I95" s="6" t="inlineStr">
        <is>
          <t>Every mandatory payment field shows its own validation error simultaneously and navigation is blocked. Reaching an order review screen with no payment details would be a severe functional defect.</t>
        </is>
      </c>
      <c r="J95" s="6" t="inlineStr">
        <is>
          <t>Equivalence partitioning (all-absent class)</t>
        </is>
      </c>
      <c r="K95" s="6" t="inlineStr">
        <is>
          <t>R-27</t>
        </is>
      </c>
      <c r="L95" s="6" t="inlineStr">
        <is>
          <t>Yes</t>
        </is>
      </c>
      <c r="M95" s="8" t="inlineStr">
        <is>
          <t>Not Run</t>
        </is>
      </c>
      <c r="N95" s="9" t="n"/>
      <c r="O95" s="9" t="n"/>
      <c r="P95" s="9" t="n"/>
      <c r="Q95" s="9" t="n"/>
      <c r="R95" s="9" t="n"/>
    </row>
    <row r="96" ht="92" customHeight="1">
      <c r="A96" s="6" t="inlineStr">
        <is>
          <t>TC-CHKP-003</t>
        </is>
      </c>
      <c r="B96" s="6" t="inlineStr">
        <is>
          <t>Checkout — Payment</t>
        </is>
      </c>
      <c r="C96" s="6" t="inlineStr">
        <is>
          <t>Valid payment data allows progression to the order review screen</t>
        </is>
      </c>
      <c r="D96" s="6" t="inlineStr">
        <is>
          <t>Smoke</t>
        </is>
      </c>
      <c r="E96" s="7" t="inlineStr">
        <is>
          <t>P1</t>
        </is>
      </c>
      <c r="F96" s="6" t="inlineStr">
        <is>
          <t>Conversion</t>
        </is>
      </c>
      <c r="G96" s="6" t="inlineStr">
        <is>
          <t>User is on the payment screen.</t>
        </is>
      </c>
      <c r="H96" s="6" t="inlineStr">
        <is>
          <t>1. Enter a well-formed test card number — use only obvious dummy values such as 4111111111111111, never a real card
2. Enter a future expiry date and a three-digit security code
3. Leave the billing-address checkbox ticked
4. Tap review order</t>
        </is>
      </c>
      <c r="I96" s="6" t="inlineStr">
        <is>
          <t>The review screen opens showing the order. No real payment is processed — this is a demo application with no payment backend.</t>
        </is>
      </c>
      <c r="J96" s="6" t="inlineStr">
        <is>
          <t>Specification-based (happy path)</t>
        </is>
      </c>
      <c r="K96" s="6" t="inlineStr">
        <is>
          <t>R-26</t>
        </is>
      </c>
      <c r="L96" s="6" t="inlineStr">
        <is>
          <t>Yes</t>
        </is>
      </c>
      <c r="M96" s="8" t="inlineStr">
        <is>
          <t>Not Run</t>
        </is>
      </c>
      <c r="N96" s="9" t="n"/>
      <c r="O96" s="9" t="n"/>
      <c r="P96" s="9" t="n"/>
      <c r="Q96" s="9" t="n"/>
      <c r="R96" s="9" t="n"/>
    </row>
    <row r="97" ht="92" customHeight="1">
      <c r="A97" s="6" t="inlineStr">
        <is>
          <t>TC-CHKP-004</t>
        </is>
      </c>
      <c r="B97" s="6" t="inlineStr">
        <is>
          <t>Checkout — Payment</t>
        </is>
      </c>
      <c r="C97" s="6" t="inlineStr">
        <is>
          <t>Card number field rejects alphabetic and clearly malformed input</t>
        </is>
      </c>
      <c r="D97" s="6" t="inlineStr">
        <is>
          <t>Input Validation</t>
        </is>
      </c>
      <c r="E97" s="7" t="inlineStr">
        <is>
          <t>P1</t>
        </is>
      </c>
      <c r="F97" s="6" t="inlineStr">
        <is>
          <t>Conversion</t>
        </is>
      </c>
      <c r="G97" s="6" t="inlineStr">
        <is>
          <t>User is on the payment screen.</t>
        </is>
      </c>
      <c r="H97" s="6" t="inlineStr">
        <is>
          <t>1. Enter 'ABCDEFGHIJKL' as the card number and submit
2. Enter '1234' as the card number and submit
3. Enter '!!!!!!!!!!!!' as the card number and submit
4. Record the behaviour and the exact message for each</t>
        </is>
      </c>
      <c r="I97" s="6" t="inlineStr">
        <is>
          <t>Each is rejected with a validation message. Note whether the message is specific enough to act on — a generic 'value looks invalid' tells the user something is wrong but not what, which is a usability weakness worth recording alongside the functional result.</t>
        </is>
      </c>
      <c r="J97" s="6" t="inlineStr">
        <is>
          <t>Equivalence partitioning (format classes)</t>
        </is>
      </c>
      <c r="K97" s="6" t="inlineStr">
        <is>
          <t>R-27</t>
        </is>
      </c>
      <c r="L97" s="6" t="inlineStr">
        <is>
          <t>Yes</t>
        </is>
      </c>
      <c r="M97" s="8" t="inlineStr">
        <is>
          <t>Not Run</t>
        </is>
      </c>
      <c r="N97" s="9" t="n"/>
      <c r="O97" s="9" t="n"/>
      <c r="P97" s="9" t="n"/>
      <c r="Q97" s="9" t="n"/>
      <c r="R97" s="9" t="n"/>
    </row>
    <row r="98" ht="92" customHeight="1">
      <c r="A98" s="6" t="inlineStr">
        <is>
          <t>TC-CHKP-005</t>
        </is>
      </c>
      <c r="B98" s="6" t="inlineStr">
        <is>
          <t>Checkout — Payment</t>
        </is>
      </c>
      <c r="C98" s="6" t="inlineStr">
        <is>
          <t>Expiry date in the past is rejected</t>
        </is>
      </c>
      <c r="D98" s="6" t="inlineStr">
        <is>
          <t>Negative</t>
        </is>
      </c>
      <c r="E98" s="7" t="inlineStr">
        <is>
          <t>P1</t>
        </is>
      </c>
      <c r="F98" s="6" t="inlineStr">
        <is>
          <t>Conversion</t>
        </is>
      </c>
      <c r="G98" s="6" t="inlineStr">
        <is>
          <t>User is on the payment screen with other fields valid.</t>
        </is>
      </c>
      <c r="H98" s="6" t="inlineStr">
        <is>
          <t>1. Enter an expiry date clearly in the past, such as 01/20
2. Submit
3. Enter last month's date and submit
4. Record the behaviour for each</t>
        </is>
      </c>
      <c r="I98" s="6" t="inlineStr">
        <is>
          <t>An expired card is rejected with a clear message. Accepting a past expiry date is a genuine functional defect: it guarantees a failed payment later in the flow, after the customer believes the order succeeded.</t>
        </is>
      </c>
      <c r="J98" s="6" t="inlineStr">
        <is>
          <t>Boundary value analysis (date boundary)</t>
        </is>
      </c>
      <c r="K98" s="6" t="inlineStr">
        <is>
          <t>R-27</t>
        </is>
      </c>
      <c r="L98" s="6" t="inlineStr">
        <is>
          <t>Yes</t>
        </is>
      </c>
      <c r="M98" s="8" t="inlineStr">
        <is>
          <t>Not Run</t>
        </is>
      </c>
      <c r="N98" s="9" t="n"/>
      <c r="O98" s="9" t="n"/>
      <c r="P98" s="9" t="n"/>
      <c r="Q98" s="9" t="n"/>
      <c r="R98" s="9" t="n"/>
    </row>
    <row r="99" ht="92" customHeight="1">
      <c r="A99" s="6" t="inlineStr">
        <is>
          <t>TC-CHKP-006</t>
        </is>
      </c>
      <c r="B99" s="6" t="inlineStr">
        <is>
          <t>Checkout — Payment</t>
        </is>
      </c>
      <c r="C99" s="6" t="inlineStr">
        <is>
          <t>Expiry date exactly at the current month is handled at the boundary</t>
        </is>
      </c>
      <c r="D99" s="6" t="inlineStr">
        <is>
          <t>Boundary</t>
        </is>
      </c>
      <c r="E99" s="10" t="inlineStr">
        <is>
          <t>P2</t>
        </is>
      </c>
      <c r="F99" s="6" t="inlineStr">
        <is>
          <t>Conversion</t>
        </is>
      </c>
      <c r="G99" s="6" t="inlineStr">
        <is>
          <t>User is on the payment screen.</t>
        </is>
      </c>
      <c r="H99" s="6" t="inlineStr">
        <is>
          <t>1. Enter the current month and year as the expiry date
2. Submit and record the result
3. Enter next month and submit
4. Enter a date twenty years in the future and submit</t>
        </is>
      </c>
      <c r="I99" s="6" t="inlineStr">
        <is>
          <t>The current month should be accepted, since cards remain valid through their expiry month. Next month is accepted. Record what happens with a far-future date — an unbounded upper limit is worth noting.</t>
        </is>
      </c>
      <c r="J99" s="6" t="inlineStr">
        <is>
          <t>Boundary value analysis (on and around the boundary)</t>
        </is>
      </c>
      <c r="K99" s="6" t="inlineStr">
        <is>
          <t>R-27</t>
        </is>
      </c>
      <c r="L99" s="6" t="inlineStr">
        <is>
          <t>No</t>
        </is>
      </c>
      <c r="M99" s="8" t="inlineStr">
        <is>
          <t>Not Run</t>
        </is>
      </c>
      <c r="N99" s="9" t="n"/>
      <c r="O99" s="9" t="n"/>
      <c r="P99" s="9" t="n"/>
      <c r="Q99" s="9" t="n"/>
      <c r="R99" s="9" t="n"/>
    </row>
    <row r="100" ht="92" customHeight="1">
      <c r="A100" s="6" t="inlineStr">
        <is>
          <t>TC-CHKP-007</t>
        </is>
      </c>
      <c r="B100" s="6" t="inlineStr">
        <is>
          <t>Checkout — Payment</t>
        </is>
      </c>
      <c r="C100" s="6" t="inlineStr">
        <is>
          <t>Security code enforces a sensible length</t>
        </is>
      </c>
      <c r="D100" s="6" t="inlineStr">
        <is>
          <t>Boundary</t>
        </is>
      </c>
      <c r="E100" s="10" t="inlineStr">
        <is>
          <t>P2</t>
        </is>
      </c>
      <c r="F100" s="6" t="inlineStr">
        <is>
          <t>Conversion</t>
        </is>
      </c>
      <c r="G100" s="6" t="inlineStr">
        <is>
          <t>User is on the payment screen. Read the on-screen hint about how many digits are expected.</t>
        </is>
      </c>
      <c r="H100" s="6" t="inlineStr">
        <is>
          <t>1. Read the security-code hint text and note the number of digits it specifies
2. Enter one digit fewer than specified and submit
3. Enter exactly the specified number and submit
4. Enter ten digits and submit</t>
        </is>
      </c>
      <c r="I100" s="6" t="inlineStr">
        <is>
          <t>Too few digits is rejected, the correct length is accepted, and an over-long value is either truncated at the limit or rejected. The behaviour must match the on-screen hint — a hint that contradicts the validation is itself a defect.</t>
        </is>
      </c>
      <c r="J100" s="6" t="inlineStr">
        <is>
          <t>Boundary value analysis</t>
        </is>
      </c>
      <c r="K100" s="6" t="inlineStr">
        <is>
          <t>R-27</t>
        </is>
      </c>
      <c r="L100" s="6" t="inlineStr">
        <is>
          <t>Yes</t>
        </is>
      </c>
      <c r="M100" s="8" t="inlineStr">
        <is>
          <t>Not Run</t>
        </is>
      </c>
      <c r="N100" s="9" t="n"/>
      <c r="O100" s="9" t="n"/>
      <c r="P100" s="9" t="n"/>
      <c r="Q100" s="9" t="n"/>
      <c r="R100" s="9" t="n"/>
    </row>
    <row r="101" ht="92" customHeight="1">
      <c r="A101" s="6" t="inlineStr">
        <is>
          <t>TC-CHKP-008</t>
        </is>
      </c>
      <c r="B101" s="6" t="inlineStr">
        <is>
          <t>Checkout — Payment</t>
        </is>
      </c>
      <c r="C101" s="6" t="inlineStr">
        <is>
          <t>Security code input is masked or otherwise protected on screen</t>
        </is>
      </c>
      <c r="D101" s="6" t="inlineStr">
        <is>
          <t>Functional</t>
        </is>
      </c>
      <c r="E101" s="10" t="inlineStr">
        <is>
          <t>P2</t>
        </is>
      </c>
      <c r="F101" s="6" t="inlineStr">
        <is>
          <t>Conversion</t>
        </is>
      </c>
      <c r="G101" s="6" t="inlineStr">
        <is>
          <t>User is on the payment screen.</t>
        </is>
      </c>
      <c r="H101" s="6" t="inlineStr">
        <is>
          <t>1. Type a security code into the field
2. Observe whether the digits are visible
3. Take a screenshot and inspect it
4. Check the app switcher preview</t>
        </is>
      </c>
      <c r="I101" s="6" t="inlineStr">
        <is>
          <t>Record the behaviour precisely. A security code rendered in plain text and captured in screenshots is a privacy weakness worth reporting even in a demo app, because it demonstrates the pattern that would ship in a real one.</t>
        </is>
      </c>
      <c r="J101" s="6" t="inlineStr">
        <is>
          <t>Security-adjacent observation</t>
        </is>
      </c>
      <c r="K101" s="6" t="inlineStr">
        <is>
          <t>R-03</t>
        </is>
      </c>
      <c r="L101" s="6" t="inlineStr">
        <is>
          <t>No</t>
        </is>
      </c>
      <c r="M101" s="8" t="inlineStr">
        <is>
          <t>Not Run</t>
        </is>
      </c>
      <c r="N101" s="9" t="n"/>
      <c r="O101" s="9" t="n"/>
      <c r="P101" s="9" t="n"/>
      <c r="Q101" s="9" t="n"/>
      <c r="R101" s="9" t="n"/>
    </row>
    <row r="102" ht="92" customHeight="1">
      <c r="A102" s="6" t="inlineStr">
        <is>
          <t>TC-CHKP-009</t>
        </is>
      </c>
      <c r="B102" s="6" t="inlineStr">
        <is>
          <t>Checkout — Payment</t>
        </is>
      </c>
      <c r="C102" s="6" t="inlineStr">
        <is>
          <t>Card number field does not accept an unreasonable number of digits</t>
        </is>
      </c>
      <c r="D102" s="6" t="inlineStr">
        <is>
          <t>Boundary</t>
        </is>
      </c>
      <c r="E102" s="11" t="inlineStr">
        <is>
          <t>P3</t>
        </is>
      </c>
      <c r="F102" s="6" t="inlineStr">
        <is>
          <t>Conversion</t>
        </is>
      </c>
      <c r="G102" s="6" t="inlineStr">
        <is>
          <t>User is on the payment screen.</t>
        </is>
      </c>
      <c r="H102" s="6" t="inlineStr">
        <is>
          <t>1. Enter a 15-digit number and note whether it is accepted
2. Enter a 16-digit number and note the result
3. Enter a 19-digit number and note the result
4. Attempt to enter 50 digits and observe whether the field stops accepting input</t>
        </is>
      </c>
      <c r="I102" s="6" t="inlineStr">
        <is>
          <t>Real card numbers are 13 to 19 digits. The field should stop accepting input at a sensible maximum. A field that accepts fifty digits without complaint indicates no length validation at all.</t>
        </is>
      </c>
      <c r="J102" s="6" t="inlineStr">
        <is>
          <t>Boundary value analysis (upper bound)</t>
        </is>
      </c>
      <c r="K102" s="6" t="inlineStr">
        <is>
          <t>R-27</t>
        </is>
      </c>
      <c r="L102" s="6" t="inlineStr">
        <is>
          <t>No</t>
        </is>
      </c>
      <c r="M102" s="8" t="inlineStr">
        <is>
          <t>Not Run</t>
        </is>
      </c>
      <c r="N102" s="9" t="n"/>
      <c r="O102" s="9" t="n"/>
      <c r="P102" s="9" t="n"/>
      <c r="Q102" s="9" t="n"/>
      <c r="R102" s="9" t="n"/>
    </row>
    <row r="103" ht="92" customHeight="1">
      <c r="A103" s="6" t="inlineStr">
        <is>
          <t>TC-CHKP-010</t>
        </is>
      </c>
      <c r="B103" s="6" t="inlineStr">
        <is>
          <t>Checkout — Payment</t>
        </is>
      </c>
      <c r="C103" s="6" t="inlineStr">
        <is>
          <t>Unticking the billing-address checkbox reveals a billing address form</t>
        </is>
      </c>
      <c r="D103" s="6" t="inlineStr">
        <is>
          <t>Functional</t>
        </is>
      </c>
      <c r="E103" s="10" t="inlineStr">
        <is>
          <t>P2</t>
        </is>
      </c>
      <c r="F103" s="6" t="inlineStr">
        <is>
          <t>Conversion</t>
        </is>
      </c>
      <c r="G103" s="6" t="inlineStr">
        <is>
          <t>User is on the payment screen with the billing checkbox ticked.</t>
        </is>
      </c>
      <c r="H103" s="6" t="inlineStr">
        <is>
          <t>1. Note the checkbox state and the fields visible
2. Untick the checkbox
3. Observe whether billing address fields appear
4. Re-tick it and confirm they disappear</t>
        </is>
      </c>
      <c r="I103" s="6" t="inlineStr">
        <is>
          <t>Unticking reveals a billing address form; re-ticking hides it. If unticking reveals nothing, the checkbox is decorative and the user's billing address can never differ from their shipping address — a functional gap worth reporting.</t>
        </is>
      </c>
      <c r="J103" s="6" t="inlineStr">
        <is>
          <t>Decision table (conditional visibility)</t>
        </is>
      </c>
      <c r="K103" s="6" t="inlineStr">
        <is>
          <t>R-26</t>
        </is>
      </c>
      <c r="L103" s="6" t="inlineStr">
        <is>
          <t>Yes</t>
        </is>
      </c>
      <c r="M103" s="8" t="inlineStr">
        <is>
          <t>Not Run</t>
        </is>
      </c>
      <c r="N103" s="9" t="n"/>
      <c r="O103" s="9" t="n"/>
      <c r="P103" s="9" t="n"/>
      <c r="Q103" s="9" t="n"/>
      <c r="R103" s="9" t="n"/>
    </row>
    <row r="104" ht="92" customHeight="1">
      <c r="A104" s="6" t="inlineStr">
        <is>
          <t>TC-CHKP-011</t>
        </is>
      </c>
      <c r="B104" s="6" t="inlineStr">
        <is>
          <t>Checkout — Payment</t>
        </is>
      </c>
      <c r="C104" s="6" t="inlineStr">
        <is>
          <t>Payment card type indicator responds to the card number entered</t>
        </is>
      </c>
      <c r="D104" s="6" t="inlineStr">
        <is>
          <t>Functional</t>
        </is>
      </c>
      <c r="E104" s="11" t="inlineStr">
        <is>
          <t>P3</t>
        </is>
      </c>
      <c r="F104" s="6" t="inlineStr">
        <is>
          <t>Conversion</t>
        </is>
      </c>
      <c r="G104" s="6" t="inlineStr">
        <is>
          <t>User is on the payment screen. The screen shows card-brand imagery.</t>
        </is>
      </c>
      <c r="H104" s="6" t="inlineStr">
        <is>
          <t>1. Note which card brand images are displayed
2. Enter a card number beginning with 4 and observe whether any brand is highlighted
3. Enter one beginning with 5 and observe again</t>
        </is>
      </c>
      <c r="I104" s="6" t="inlineStr">
        <is>
          <t>Record the actual behaviour. If the brand images are purely decorative and never respond to input, that is worth noting as a missed usability affordance rather than a functional failure.</t>
        </is>
      </c>
      <c r="J104" s="6" t="inlineStr">
        <is>
          <t>Specification-based observation</t>
        </is>
      </c>
      <c r="K104" s="6" t="inlineStr">
        <is>
          <t>R-26</t>
        </is>
      </c>
      <c r="L104" s="6" t="inlineStr">
        <is>
          <t>No</t>
        </is>
      </c>
      <c r="M104" s="8" t="inlineStr">
        <is>
          <t>Not Run</t>
        </is>
      </c>
      <c r="N104" s="9" t="n"/>
      <c r="O104" s="9" t="n"/>
      <c r="P104" s="9" t="n"/>
      <c r="Q104" s="9" t="n"/>
      <c r="R104" s="9" t="n"/>
    </row>
    <row r="105" ht="92" customHeight="1">
      <c r="A105" s="6" t="inlineStr">
        <is>
          <t>TC-CHKP-012</t>
        </is>
      </c>
      <c r="B105" s="6" t="inlineStr">
        <is>
          <t>Checkout — Payment</t>
        </is>
      </c>
      <c r="C105" s="6" t="inlineStr">
        <is>
          <t>Back navigation from payment returns to shipping with data intact</t>
        </is>
      </c>
      <c r="D105" s="6" t="inlineStr">
        <is>
          <t>Functional</t>
        </is>
      </c>
      <c r="E105" s="10" t="inlineStr">
        <is>
          <t>P2</t>
        </is>
      </c>
      <c r="F105" s="6" t="inlineStr">
        <is>
          <t>Conversion</t>
        </is>
      </c>
      <c r="G105" s="6" t="inlineStr">
        <is>
          <t>User has completed shipping and is on the payment screen.</t>
        </is>
      </c>
      <c r="H105" s="6" t="inlineStr">
        <is>
          <t>1. Note the shipping data you entered
2. Press the system back button
3. Observe the shipping screen and whether every field is still populated
4. Continue forward again to payment and check whether the payment fields are retained</t>
        </is>
      </c>
      <c r="I105" s="6" t="inlineStr">
        <is>
          <t>Shipping data is fully retained. Making the customer retype an entire address to correct one payment digit is a well-documented abandonment cause.</t>
        </is>
      </c>
      <c r="J105" s="6" t="inlineStr">
        <is>
          <t>State transition testing</t>
        </is>
      </c>
      <c r="K105" s="6" t="inlineStr">
        <is>
          <t>R-10</t>
        </is>
      </c>
      <c r="L105" s="6" t="inlineStr">
        <is>
          <t>Yes</t>
        </is>
      </c>
      <c r="M105" s="8" t="inlineStr">
        <is>
          <t>Not Run</t>
        </is>
      </c>
      <c r="N105" s="9" t="n"/>
      <c r="O105" s="9" t="n"/>
      <c r="P105" s="9" t="n"/>
      <c r="Q105" s="9" t="n"/>
      <c r="R105" s="9" t="n"/>
    </row>
    <row r="106" ht="92" customHeight="1">
      <c r="A106" s="6" t="inlineStr">
        <is>
          <t>TC-CHKP-013</t>
        </is>
      </c>
      <c r="B106" s="6" t="inlineStr">
        <is>
          <t>Checkout — Payment</t>
        </is>
      </c>
      <c r="C106" s="6" t="inlineStr">
        <is>
          <t>Payment fields open numeric keyboards</t>
        </is>
      </c>
      <c r="D106" s="6" t="inlineStr">
        <is>
          <t>Usability</t>
        </is>
      </c>
      <c r="E106" s="10" t="inlineStr">
        <is>
          <t>P2</t>
        </is>
      </c>
      <c r="F106" s="6" t="inlineStr">
        <is>
          <t>Conversion</t>
        </is>
      </c>
      <c r="G106" s="6" t="inlineStr">
        <is>
          <t>User is on the payment screen.</t>
        </is>
      </c>
      <c r="H106" s="6" t="inlineStr">
        <is>
          <t>1. Tap the card number field and note the keyboard type
2. Tap the expiry date field and note the keyboard type
3. Tap the security code field and note the keyboard type</t>
        </is>
      </c>
      <c r="I106" s="6" t="inlineStr">
        <is>
          <t>All three present a numeric keyboard, since all three accept digits only. Presenting a full alphabetic keyboard for a card number forces an unnecessary mode switch at the most conversion-sensitive moment in the funnel.</t>
        </is>
      </c>
      <c r="J106" s="6" t="inlineStr">
        <is>
          <t>Usability heuristic (efficiency of use)</t>
        </is>
      </c>
      <c r="K106" s="6" t="inlineStr">
        <is>
          <t>R-25</t>
        </is>
      </c>
      <c r="L106" s="6" t="inlineStr">
        <is>
          <t>No</t>
        </is>
      </c>
      <c r="M106" s="8" t="inlineStr">
        <is>
          <t>Not Run</t>
        </is>
      </c>
      <c r="N106" s="9" t="n"/>
      <c r="O106" s="9" t="n"/>
      <c r="P106" s="9" t="n"/>
      <c r="Q106" s="9" t="n"/>
      <c r="R106" s="9" t="n"/>
    </row>
    <row r="107" ht="92" customHeight="1">
      <c r="A107" s="6" t="inlineStr">
        <is>
          <t>TC-CHKR-001</t>
        </is>
      </c>
      <c r="B107" s="6" t="inlineStr">
        <is>
          <t>Checkout — Review</t>
        </is>
      </c>
      <c r="C107" s="6" t="inlineStr">
        <is>
          <t>Review screen displays the delivery address exactly as entered</t>
        </is>
      </c>
      <c r="D107" s="6" t="inlineStr">
        <is>
          <t>Functional</t>
        </is>
      </c>
      <c r="E107" s="7" t="inlineStr">
        <is>
          <t>P1</t>
        </is>
      </c>
      <c r="F107" s="6" t="inlineStr">
        <is>
          <t>Conversion</t>
        </is>
      </c>
      <c r="G107" s="6" t="inlineStr">
        <is>
          <t>User has completed shipping and payment and reached the review screen.</t>
        </is>
      </c>
      <c r="H107" s="6" t="inlineStr">
        <is>
          <t>1. Record the shipping address exactly as you entered it
2. Reach the review screen
3. Compare the displayed delivery address field by field</t>
        </is>
      </c>
      <c r="I107" s="6" t="inlineStr">
        <is>
          <t>Every element of the address matches what was entered, including capitalisation and any accented characters. A silently altered or truncated address produces an undeliverable order.</t>
        </is>
      </c>
      <c r="J107" s="6" t="inlineStr">
        <is>
          <t>Consistency oracle across screens</t>
        </is>
      </c>
      <c r="K107" s="6" t="inlineStr">
        <is>
          <t>R-28</t>
        </is>
      </c>
      <c r="L107" s="6" t="inlineStr">
        <is>
          <t>Yes</t>
        </is>
      </c>
      <c r="M107" s="8" t="inlineStr">
        <is>
          <t>Not Run</t>
        </is>
      </c>
      <c r="N107" s="9" t="n"/>
      <c r="O107" s="9" t="n"/>
      <c r="P107" s="9" t="n"/>
      <c r="Q107" s="9" t="n"/>
      <c r="R107" s="9" t="n"/>
    </row>
    <row r="108" ht="92" customHeight="1">
      <c r="A108" s="6" t="inlineStr">
        <is>
          <t>TC-CHKR-002</t>
        </is>
      </c>
      <c r="B108" s="6" t="inlineStr">
        <is>
          <t>Checkout — Review</t>
        </is>
      </c>
      <c r="C108" s="6" t="inlineStr">
        <is>
          <t>Review screen displays a masked payment method, not the full card number</t>
        </is>
      </c>
      <c r="D108" s="6" t="inlineStr">
        <is>
          <t>Functional</t>
        </is>
      </c>
      <c r="E108" s="7" t="inlineStr">
        <is>
          <t>P1</t>
        </is>
      </c>
      <c r="F108" s="6" t="inlineStr">
        <is>
          <t>Conversion</t>
        </is>
      </c>
      <c r="G108" s="6" t="inlineStr">
        <is>
          <t>User is on the review screen.</t>
        </is>
      </c>
      <c r="H108" s="6" t="inlineStr">
        <is>
          <t>1. Observe the payment method section
2. Note exactly how much of the card number is displayed
3. Screenshot the screen and inspect it</t>
        </is>
      </c>
      <c r="I108" s="6" t="inlineStr">
        <is>
          <t>Only a masked representation should be shown, typically the last four digits. A full card number rendered on the review screen and captured in screenshots is a high-severity privacy defect and would breach card-industry expectations in a production app.</t>
        </is>
      </c>
      <c r="J108" s="6" t="inlineStr">
        <is>
          <t>Security-adjacent observation</t>
        </is>
      </c>
      <c r="K108" s="6" t="inlineStr">
        <is>
          <t>R-03</t>
        </is>
      </c>
      <c r="L108" s="6" t="inlineStr">
        <is>
          <t>No</t>
        </is>
      </c>
      <c r="M108" s="8" t="inlineStr">
        <is>
          <t>Not Run</t>
        </is>
      </c>
      <c r="N108" s="9" t="n"/>
      <c r="O108" s="9" t="n"/>
      <c r="P108" s="9" t="n"/>
      <c r="Q108" s="9" t="n"/>
      <c r="R108" s="9" t="n"/>
    </row>
    <row r="109" ht="92" customHeight="1">
      <c r="A109" s="6" t="inlineStr">
        <is>
          <t>TC-CHKR-003</t>
        </is>
      </c>
      <c r="B109" s="6" t="inlineStr">
        <is>
          <t>Checkout — Review</t>
        </is>
      </c>
      <c r="C109" s="6" t="inlineStr">
        <is>
          <t>Review screen lists every ordered product with correct quantity and price</t>
        </is>
      </c>
      <c r="D109" s="6" t="inlineStr">
        <is>
          <t>Functional</t>
        </is>
      </c>
      <c r="E109" s="7" t="inlineStr">
        <is>
          <t>P1</t>
        </is>
      </c>
      <c r="F109" s="6" t="inlineStr">
        <is>
          <t>Conversion</t>
        </is>
      </c>
      <c r="G109" s="6" t="inlineStr">
        <is>
          <t>Cart contains three items across two products. User is on the review screen.</t>
        </is>
      </c>
      <c r="H109" s="6" t="inlineStr">
        <is>
          <t>1. Record the exact cart contents before checkout
2. Reach the review screen
3. Compare every product, colour, quantity and line price against the cart</t>
        </is>
      </c>
      <c r="I109" s="6" t="inlineStr">
        <is>
          <t>The review screen shows exactly what was in the cart. Nothing is added, dropped, or has its quantity altered between the cart and the review screen.</t>
        </is>
      </c>
      <c r="J109" s="6" t="inlineStr">
        <is>
          <t>Consistency oracle across screens</t>
        </is>
      </c>
      <c r="K109" s="6" t="inlineStr">
        <is>
          <t>R-28</t>
        </is>
      </c>
      <c r="L109" s="6" t="inlineStr">
        <is>
          <t>Yes</t>
        </is>
      </c>
      <c r="M109" s="8" t="inlineStr">
        <is>
          <t>Not Run</t>
        </is>
      </c>
      <c r="N109" s="9" t="n"/>
      <c r="O109" s="9" t="n"/>
      <c r="P109" s="9" t="n"/>
      <c r="Q109" s="9" t="n"/>
      <c r="R109" s="9" t="n"/>
    </row>
    <row r="110" ht="92" customHeight="1">
      <c r="A110" s="6" t="inlineStr">
        <is>
          <t>TC-CHKR-004</t>
        </is>
      </c>
      <c r="B110" s="6" t="inlineStr">
        <is>
          <t>Checkout — Review</t>
        </is>
      </c>
      <c r="C110" s="6" t="inlineStr">
        <is>
          <t>Order total equals the item subtotal plus the stated delivery charge</t>
        </is>
      </c>
      <c r="D110" s="6" t="inlineStr">
        <is>
          <t>Functional</t>
        </is>
      </c>
      <c r="E110" s="7" t="inlineStr">
        <is>
          <t>P1</t>
        </is>
      </c>
      <c r="F110" s="6" t="inlineStr">
        <is>
          <t>Conversion</t>
        </is>
      </c>
      <c r="G110" s="6" t="inlineStr">
        <is>
          <t>User is on the review screen with a known cart.</t>
        </is>
      </c>
      <c r="H110" s="6" t="inlineStr">
        <is>
          <t>1. Record every line price and quantity on the review screen
2. Record the delivery charge exactly as displayed
3. Calculate subtotal plus delivery by hand
4. Compare against the displayed total</t>
        </is>
      </c>
      <c r="I110" s="6" t="inlineStr">
        <is>
          <t>The displayed total equals the hand-calculated figure to the cent. This is the single most important assertion in the application: the total is the number the customer is asked to agree to pay.</t>
        </is>
      </c>
      <c r="J110" s="6" t="inlineStr">
        <is>
          <t>Arithmetic invariant</t>
        </is>
      </c>
      <c r="K110" s="6" t="inlineStr">
        <is>
          <t>R-21</t>
        </is>
      </c>
      <c r="L110" s="6" t="inlineStr">
        <is>
          <t>Yes</t>
        </is>
      </c>
      <c r="M110" s="8" t="inlineStr">
        <is>
          <t>Not Run</t>
        </is>
      </c>
      <c r="N110" s="9" t="n"/>
      <c r="O110" s="9" t="n"/>
      <c r="P110" s="9" t="n"/>
      <c r="Q110" s="9" t="n"/>
      <c r="R110" s="9" t="n"/>
    </row>
    <row r="111" ht="92" customHeight="1">
      <c r="A111" s="6" t="inlineStr">
        <is>
          <t>TC-CHKR-005</t>
        </is>
      </c>
      <c r="B111" s="6" t="inlineStr">
        <is>
          <t>Checkout — Review</t>
        </is>
      </c>
      <c r="C111" s="6" t="inlineStr">
        <is>
          <t>Delivery charge is stated explicitly before the order is placed</t>
        </is>
      </c>
      <c r="D111" s="6" t="inlineStr">
        <is>
          <t>Functional</t>
        </is>
      </c>
      <c r="E111" s="7" t="inlineStr">
        <is>
          <t>P1</t>
        </is>
      </c>
      <c r="F111" s="6" t="inlineStr">
        <is>
          <t>Conversion</t>
        </is>
      </c>
      <c r="G111" s="6" t="inlineStr">
        <is>
          <t>User is on the review screen.</t>
        </is>
      </c>
      <c r="H111" s="6" t="inlineStr">
        <is>
          <t>1. Look for a delivery or shipping charge line
2. Note its exact value and label
3. Confirm it is visible without scrolling, or that scrolling is clearly indicated</t>
        </is>
      </c>
      <c r="I111" s="6" t="inlineStr">
        <is>
          <t>The delivery charge is shown as its own labelled line with a value, before the total. An unexplained gap between the item subtotal and the total is a transparency defect and, for a European retailer, a consumer-protection concern.</t>
        </is>
      </c>
      <c r="J111" s="6" t="inlineStr">
        <is>
          <t>Specification-based / regulatory awareness</t>
        </is>
      </c>
      <c r="K111" s="6" t="inlineStr">
        <is>
          <t>R-28</t>
        </is>
      </c>
      <c r="L111" s="6" t="inlineStr">
        <is>
          <t>No</t>
        </is>
      </c>
      <c r="M111" s="8" t="inlineStr">
        <is>
          <t>Not Run</t>
        </is>
      </c>
      <c r="N111" s="9" t="n"/>
      <c r="O111" s="9" t="n"/>
      <c r="P111" s="9" t="n"/>
      <c r="Q111" s="9" t="n"/>
      <c r="R111" s="9" t="n"/>
    </row>
    <row r="112" ht="92" customHeight="1">
      <c r="A112" s="6" t="inlineStr">
        <is>
          <t>TC-CHKR-006</t>
        </is>
      </c>
      <c r="B112" s="6" t="inlineStr">
        <is>
          <t>Checkout — Review</t>
        </is>
      </c>
      <c r="C112" s="6" t="inlineStr">
        <is>
          <t>Place Order completes the purchase and shows a confirmation screen</t>
        </is>
      </c>
      <c r="D112" s="6" t="inlineStr">
        <is>
          <t>Smoke</t>
        </is>
      </c>
      <c r="E112" s="7" t="inlineStr">
        <is>
          <t>P1</t>
        </is>
      </c>
      <c r="F112" s="6" t="inlineStr">
        <is>
          <t>Conversion</t>
        </is>
      </c>
      <c r="G112" s="6" t="inlineStr">
        <is>
          <t>User is on the review screen with a valid order.</t>
        </is>
      </c>
      <c r="H112" s="6" t="inlineStr">
        <is>
          <t>1. Tap Place Order
2. Observe the resulting screen
3. Record every element of the confirmation message</t>
        </is>
      </c>
      <c r="I112" s="6" t="inlineStr">
        <is>
          <t>A confirmation screen appears thanking the user and stating the order is on its way, with an option to continue shopping. The user is never left on the review screen with no feedback about whether the order went through.</t>
        </is>
      </c>
      <c r="J112" s="6" t="inlineStr">
        <is>
          <t>Specification-based (happy path)</t>
        </is>
      </c>
      <c r="K112" s="6" t="inlineStr">
        <is>
          <t>R-28</t>
        </is>
      </c>
      <c r="L112" s="6" t="inlineStr">
        <is>
          <t>Yes</t>
        </is>
      </c>
      <c r="M112" s="8" t="inlineStr">
        <is>
          <t>Not Run</t>
        </is>
      </c>
      <c r="N112" s="9" t="n"/>
      <c r="O112" s="9" t="n"/>
      <c r="P112" s="9" t="n"/>
      <c r="Q112" s="9" t="n"/>
      <c r="R112" s="9" t="n"/>
    </row>
    <row r="113" ht="92" customHeight="1">
      <c r="A113" s="6" t="inlineStr">
        <is>
          <t>TC-CHKR-007</t>
        </is>
      </c>
      <c r="B113" s="6" t="inlineStr">
        <is>
          <t>Checkout — Review</t>
        </is>
      </c>
      <c r="C113" s="6" t="inlineStr">
        <is>
          <t>Cart is emptied after a successful order</t>
        </is>
      </c>
      <c r="D113" s="6" t="inlineStr">
        <is>
          <t>Functional</t>
        </is>
      </c>
      <c r="E113" s="7" t="inlineStr">
        <is>
          <t>P1</t>
        </is>
      </c>
      <c r="F113" s="6" t="inlineStr">
        <is>
          <t>Conversion</t>
        </is>
      </c>
      <c r="G113" s="6" t="inlineStr">
        <is>
          <t>User has just completed an order.</t>
        </is>
      </c>
      <c r="H113" s="6" t="inlineStr">
        <is>
          <t>1. Complete an order and reach the confirmation screen
2. Observe the cart badge
3. Tap continue shopping and open the cart</t>
        </is>
      </c>
      <c r="I113" s="6" t="inlineStr">
        <is>
          <t>The badge shows an empty cart and the cart screen shows its empty state. A cart still holding the items that were just purchased invites an accidental duplicate order.</t>
        </is>
      </c>
      <c r="J113" s="6" t="inlineStr">
        <is>
          <t>State transition testing</t>
        </is>
      </c>
      <c r="K113" s="6" t="inlineStr">
        <is>
          <t>R-28</t>
        </is>
      </c>
      <c r="L113" s="6" t="inlineStr">
        <is>
          <t>Yes</t>
        </is>
      </c>
      <c r="M113" s="8" t="inlineStr">
        <is>
          <t>Not Run</t>
        </is>
      </c>
      <c r="N113" s="9" t="n"/>
      <c r="O113" s="9" t="n"/>
      <c r="P113" s="9" t="n"/>
      <c r="Q113" s="9" t="n"/>
      <c r="R113" s="9" t="n"/>
    </row>
    <row r="114" ht="92" customHeight="1">
      <c r="A114" s="6" t="inlineStr">
        <is>
          <t>TC-CHKR-008</t>
        </is>
      </c>
      <c r="B114" s="6" t="inlineStr">
        <is>
          <t>Checkout — Review</t>
        </is>
      </c>
      <c r="C114" s="6" t="inlineStr">
        <is>
          <t>Rapid repeated taps on Place Order create exactly one order</t>
        </is>
      </c>
      <c r="D114" s="6" t="inlineStr">
        <is>
          <t>Destructive</t>
        </is>
      </c>
      <c r="E114" s="7" t="inlineStr">
        <is>
          <t>P1</t>
        </is>
      </c>
      <c r="F114" s="6" t="inlineStr">
        <is>
          <t>Conversion</t>
        </is>
      </c>
      <c r="G114" s="6" t="inlineStr">
        <is>
          <t>User is on the review screen with a valid order.</t>
        </is>
      </c>
      <c r="H114" s="6" t="inlineStr">
        <is>
          <t>1. Tap Place Order ten times in under two seconds
2. Observe how many confirmation screens appear
3. Press back and check the cart badge and contents</t>
        </is>
      </c>
      <c r="I114" s="6" t="inlineStr">
        <is>
          <t>Exactly one confirmation appears and the cart is emptied once. Duplicate submission is the highest-severity defect class at this point in the funnel: in a real system it would charge the customer more than once.</t>
        </is>
      </c>
      <c r="J114" s="6" t="inlineStr">
        <is>
          <t>Destructive (rapid repeated input)</t>
        </is>
      </c>
      <c r="K114" s="6" t="inlineStr">
        <is>
          <t>R-15</t>
        </is>
      </c>
      <c r="L114" s="6" t="inlineStr">
        <is>
          <t>Yes</t>
        </is>
      </c>
      <c r="M114" s="8" t="inlineStr">
        <is>
          <t>Not Run</t>
        </is>
      </c>
      <c r="N114" s="9" t="n"/>
      <c r="O114" s="9" t="n"/>
      <c r="P114" s="9" t="n"/>
      <c r="Q114" s="9" t="n"/>
      <c r="R114" s="9" t="n"/>
    </row>
    <row r="115" ht="92" customHeight="1">
      <c r="A115" s="6" t="inlineStr">
        <is>
          <t>TC-CHKR-009</t>
        </is>
      </c>
      <c r="B115" s="6" t="inlineStr">
        <is>
          <t>Checkout — Review</t>
        </is>
      </c>
      <c r="C115" s="6" t="inlineStr">
        <is>
          <t>Placing an order with no network connection is handled honestly</t>
        </is>
      </c>
      <c r="D115" s="6" t="inlineStr">
        <is>
          <t>Destructive</t>
        </is>
      </c>
      <c r="E115" s="7" t="inlineStr">
        <is>
          <t>P1</t>
        </is>
      </c>
      <c r="F115" s="6" t="inlineStr">
        <is>
          <t>Conversion</t>
        </is>
      </c>
      <c r="G115" s="6" t="inlineStr">
        <is>
          <t>User is on the review screen.</t>
        </is>
      </c>
      <c r="H115" s="6" t="inlineStr">
        <is>
          <t>1. Enable airplane mode
2. Tap Place Order
3. Observe the screen for up to 30 seconds
4. Disable airplane mode and check the cart and any order state</t>
        </is>
      </c>
      <c r="I115" s="6" t="inlineStr">
        <is>
          <t>Either a clear error appears with a retry option, or the order completes locally. What must never happen is a confirmation screen for an order that was not actually placed — a false success is worse than a visible failure.</t>
        </is>
      </c>
      <c r="J115" s="6" t="inlineStr">
        <is>
          <t>Destructive (resource removal)</t>
        </is>
      </c>
      <c r="K115" s="6" t="inlineStr">
        <is>
          <t>R-14</t>
        </is>
      </c>
      <c r="L115" s="6" t="inlineStr">
        <is>
          <t>No</t>
        </is>
      </c>
      <c r="M115" s="8" t="inlineStr">
        <is>
          <t>Not Run</t>
        </is>
      </c>
      <c r="N115" s="9" t="n"/>
      <c r="O115" s="9" t="n"/>
      <c r="P115" s="9" t="n"/>
      <c r="Q115" s="9" t="n"/>
      <c r="R115" s="9" t="n"/>
    </row>
    <row r="116" ht="92" customHeight="1">
      <c r="A116" s="6" t="inlineStr">
        <is>
          <t>TC-CHKR-010</t>
        </is>
      </c>
      <c r="B116" s="6" t="inlineStr">
        <is>
          <t>Checkout — Review</t>
        </is>
      </c>
      <c r="C116" s="6" t="inlineStr">
        <is>
          <t>Killing the app mid-checkout leaves the cart and order state consistent</t>
        </is>
      </c>
      <c r="D116" s="6" t="inlineStr">
        <is>
          <t>Destructive</t>
        </is>
      </c>
      <c r="E116" s="7" t="inlineStr">
        <is>
          <t>P1</t>
        </is>
      </c>
      <c r="F116" s="6" t="inlineStr">
        <is>
          <t>Conversion</t>
        </is>
      </c>
      <c r="G116" s="6" t="inlineStr">
        <is>
          <t>User is on the review screen with a known cart.</t>
        </is>
      </c>
      <c r="H116" s="6" t="inlineStr">
        <is>
          <t>1. Record the exact cart contents
2. Force-stop the app: adb shell am force-stop com.saucelabs.mydemoapp.android
3. Relaunch the app and open the cart
4. Determine whether the order was placed, and whether the cart is intact</t>
        </is>
      </c>
      <c r="I116" s="6" t="inlineStr">
        <is>
          <t>The state must be unambiguous: either the order was not placed and the cart is intact, or the order was placed and the cart is empty. A cart that is empty with no order placed means the customer silently lost their basket.</t>
        </is>
      </c>
      <c r="J116" s="6" t="inlineStr">
        <is>
          <t>Destructive (process death at a critical step)</t>
        </is>
      </c>
      <c r="K116" s="6" t="inlineStr">
        <is>
          <t>R-05</t>
        </is>
      </c>
      <c r="L116" s="6" t="inlineStr">
        <is>
          <t>No</t>
        </is>
      </c>
      <c r="M116" s="8" t="inlineStr">
        <is>
          <t>Not Run</t>
        </is>
      </c>
      <c r="N116" s="9" t="n"/>
      <c r="O116" s="9" t="n"/>
      <c r="P116" s="9" t="n"/>
      <c r="Q116" s="9" t="n"/>
      <c r="R116" s="9" t="n"/>
    </row>
    <row r="117" ht="92" customHeight="1">
      <c r="A117" s="6" t="inlineStr">
        <is>
          <t>TC-CHKR-011</t>
        </is>
      </c>
      <c r="B117" s="6" t="inlineStr">
        <is>
          <t>Checkout — Review</t>
        </is>
      </c>
      <c r="C117" s="6" t="inlineStr">
        <is>
          <t>Back navigation from the review screen returns to payment without placing the order</t>
        </is>
      </c>
      <c r="D117" s="6" t="inlineStr">
        <is>
          <t>Negative</t>
        </is>
      </c>
      <c r="E117" s="7" t="inlineStr">
        <is>
          <t>P1</t>
        </is>
      </c>
      <c r="F117" s="6" t="inlineStr">
        <is>
          <t>Conversion</t>
        </is>
      </c>
      <c r="G117" s="6" t="inlineStr">
        <is>
          <t>User is on the review screen.</t>
        </is>
      </c>
      <c r="H117" s="6" t="inlineStr">
        <is>
          <t>1. Press the system back button
2. Observe where you land
3. Check the cart badge and confirm no order was placed</t>
        </is>
      </c>
      <c r="I117" s="6" t="inlineStr">
        <is>
          <t>The user returns to the payment screen with data intact and no order is placed. An order created by a back press would be a severe defect.</t>
        </is>
      </c>
      <c r="J117" s="6" t="inlineStr">
        <is>
          <t>State transition testing / negative path</t>
        </is>
      </c>
      <c r="K117" s="6" t="inlineStr">
        <is>
          <t>R-28</t>
        </is>
      </c>
      <c r="L117" s="6" t="inlineStr">
        <is>
          <t>Yes</t>
        </is>
      </c>
      <c r="M117" s="8" t="inlineStr">
        <is>
          <t>Not Run</t>
        </is>
      </c>
      <c r="N117" s="9" t="n"/>
      <c r="O117" s="9" t="n"/>
      <c r="P117" s="9" t="n"/>
      <c r="Q117" s="9" t="n"/>
      <c r="R117" s="9" t="n"/>
    </row>
    <row r="118" ht="92" customHeight="1">
      <c r="A118" s="6" t="inlineStr">
        <is>
          <t>TC-CHKR-012</t>
        </is>
      </c>
      <c r="B118" s="6" t="inlineStr">
        <is>
          <t>Checkout — Review</t>
        </is>
      </c>
      <c r="C118" s="6" t="inlineStr">
        <is>
          <t>Confirmation screen copy is correct, complete and professionally worded</t>
        </is>
      </c>
      <c r="D118" s="6" t="inlineStr">
        <is>
          <t>Usability</t>
        </is>
      </c>
      <c r="E118" s="10" t="inlineStr">
        <is>
          <t>P2</t>
        </is>
      </c>
      <c r="F118" s="6" t="inlineStr">
        <is>
          <t>Conversion</t>
        </is>
      </c>
      <c r="G118" s="6" t="inlineStr">
        <is>
          <t>User has just placed an order.</t>
        </is>
      </c>
      <c r="H118" s="6" t="inlineStr">
        <is>
          <t>1. Read every line on the confirmation screen word by word
2. Check capitalisation, punctuation and grammar
3. Screenshot the screen</t>
        </is>
      </c>
      <c r="I118" s="6" t="inlineStr">
        <is>
          <t>The copy is well-formed English with consistent capitalisation and punctuation. This is the last screen the customer sees; errors here are disproportionately damaging to trust, so copy defects are legitimately reportable.</t>
        </is>
      </c>
      <c r="J118" s="6" t="inlineStr">
        <is>
          <t>Static review of user-facing copy</t>
        </is>
      </c>
      <c r="K118" s="6" t="inlineStr">
        <is>
          <t>R-04</t>
        </is>
      </c>
      <c r="L118" s="6" t="inlineStr">
        <is>
          <t>No</t>
        </is>
      </c>
      <c r="M118" s="8" t="inlineStr">
        <is>
          <t>Not Run</t>
        </is>
      </c>
      <c r="N118" s="9" t="n"/>
      <c r="O118" s="9" t="n"/>
      <c r="P118" s="9" t="n"/>
      <c r="Q118" s="9" t="n"/>
      <c r="R118" s="9" t="n"/>
    </row>
    <row r="119" ht="92" customHeight="1">
      <c r="A119" s="6" t="inlineStr">
        <is>
          <t>TC-CHKR-013</t>
        </is>
      </c>
      <c r="B119" s="6" t="inlineStr">
        <is>
          <t>Checkout — Review</t>
        </is>
      </c>
      <c r="C119" s="6" t="inlineStr">
        <is>
          <t>Review and confirmation screens remain usable at maximum font size</t>
        </is>
      </c>
      <c r="D119" s="6" t="inlineStr">
        <is>
          <t>Accessibility</t>
        </is>
      </c>
      <c r="E119" s="10" t="inlineStr">
        <is>
          <t>P2</t>
        </is>
      </c>
      <c r="F119" s="6" t="inlineStr">
        <is>
          <t>Conversion</t>
        </is>
      </c>
      <c r="G119" s="6" t="inlineStr">
        <is>
          <t>Font and display size set to maximum.</t>
        </is>
      </c>
      <c r="H119" s="6" t="inlineStr">
        <is>
          <t>1. Set font and display size to maximum
2. Walk through checkout to the review screen
3. Inspect the address, payment method, line prices, delivery charge and total
4. Confirm Place Order is fully visible and tappable</t>
        </is>
      </c>
      <c r="I119" s="6" t="inlineStr">
        <is>
          <t>Every monetary value remains fully readable and untruncated, and Place Order stays on screen and tappable. A user who cannot see the total or reach the button cannot complete a purchase at all.</t>
        </is>
      </c>
      <c r="J119" s="6" t="inlineStr">
        <is>
          <t>Accessibility (WCAG 1.4.4)</t>
        </is>
      </c>
      <c r="K119" s="6" t="inlineStr">
        <is>
          <t>R-13</t>
        </is>
      </c>
      <c r="L119" s="6" t="inlineStr">
        <is>
          <t>No</t>
        </is>
      </c>
      <c r="M119" s="8" t="inlineStr">
        <is>
          <t>Not Run</t>
        </is>
      </c>
      <c r="N119" s="9" t="n"/>
      <c r="O119" s="9" t="n"/>
      <c r="P119" s="9" t="n"/>
      <c r="Q119" s="9" t="n"/>
      <c r="R119" s="9" t="n"/>
    </row>
    <row r="120" ht="92" customHeight="1">
      <c r="A120" s="6" t="inlineStr">
        <is>
          <t>TC-CHKR-014</t>
        </is>
      </c>
      <c r="B120" s="6" t="inlineStr">
        <is>
          <t>Checkout — Review</t>
        </is>
      </c>
      <c r="C120" s="6" t="inlineStr">
        <is>
          <t>Footer legal text is consistent and its copyright year is current</t>
        </is>
      </c>
      <c r="D120" s="6" t="inlineStr">
        <is>
          <t>Localisation</t>
        </is>
      </c>
      <c r="E120" s="11" t="inlineStr">
        <is>
          <t>P3</t>
        </is>
      </c>
      <c r="F120" s="6" t="inlineStr">
        <is>
          <t>Conversion</t>
        </is>
      </c>
      <c r="G120" s="6" t="inlineStr">
        <is>
          <t>User can see footer text on the review or confirmation screen.</t>
        </is>
      </c>
      <c r="H120" s="6" t="inlineStr">
        <is>
          <t>1. Record the footer text on every screen that shows one, character by character
2. Compare the wording and punctuation between screens
3. Note the copyright year and compare it against the current year</t>
        </is>
      </c>
      <c r="I120" s="6" t="inlineStr">
        <is>
          <t>Footer text is identical wherever it appears and the copyright year is current. Two differently worded footers, or a year several years out of date, are genuine content defects that suggest hardcoded strings rather than a maintained single source.</t>
        </is>
      </c>
      <c r="J120" s="6" t="inlineStr">
        <is>
          <t>Static consistency review</t>
        </is>
      </c>
      <c r="K120" s="6" t="inlineStr">
        <is>
          <t>R-04</t>
        </is>
      </c>
      <c r="L120" s="6" t="inlineStr">
        <is>
          <t>No</t>
        </is>
      </c>
      <c r="M120" s="8" t="inlineStr">
        <is>
          <t>Not Run</t>
        </is>
      </c>
      <c r="N120" s="9" t="n"/>
      <c r="O120" s="9" t="n"/>
      <c r="P120" s="9" t="n"/>
      <c r="Q120" s="9" t="n"/>
      <c r="R120" s="9" t="n"/>
    </row>
    <row r="121" ht="92" customHeight="1">
      <c r="A121" s="6" t="inlineStr">
        <is>
          <t>TC-E2E-001</t>
        </is>
      </c>
      <c r="B121" s="6" t="inlineStr">
        <is>
          <t>End-to-End</t>
        </is>
      </c>
      <c r="C121" s="6" t="inlineStr">
        <is>
          <t>Complete happy-path purchase from launch to order confirmation</t>
        </is>
      </c>
      <c r="D121" s="6" t="inlineStr">
        <is>
          <t>End-to-End</t>
        </is>
      </c>
      <c r="E121" s="7" t="inlineStr">
        <is>
          <t>P1</t>
        </is>
      </c>
      <c r="F121" s="6" t="inlineStr">
        <is>
          <t>Conversion</t>
        </is>
      </c>
      <c r="G121" s="6" t="inlineStr">
        <is>
          <t>App installed. Reset App State performed. User logged out.</t>
        </is>
      </c>
      <c r="H121" s="6" t="inlineStr">
        <is>
          <t>1. Launch the app and land on the Catalog
2. Sort by price ascending
3. Open the cheapest product
4. Select a colour and set quantity to 2
5. Add to cart and verify the badge shows 2
6. Open the cart and verify the line and the total
7. Proceed to checkout and log in with valid credentials
8. Enter valid shipping data and continue
9. Enter valid dummy payment data and continue
10. Verify the review screen matches the cart and the total is correct
11. Tap Place Order
12. Verify the confirmation screen and that the cart is now empty</t>
        </is>
      </c>
      <c r="I121" s="6" t="inlineStr">
        <is>
          <t>Every step succeeds with no crash, no data loss, no incorrect total, and no need to re-enter information. This single case exercises the whole funnel and is the first thing to run on any new build.</t>
        </is>
      </c>
      <c r="J121" s="6" t="inlineStr">
        <is>
          <t>End-to-end scenario (happy path)</t>
        </is>
      </c>
      <c r="K121" s="6" t="inlineStr">
        <is>
          <t>R-29</t>
        </is>
      </c>
      <c r="L121" s="6" t="inlineStr">
        <is>
          <t>Yes</t>
        </is>
      </c>
      <c r="M121" s="8" t="inlineStr">
        <is>
          <t>Not Run</t>
        </is>
      </c>
      <c r="N121" s="9" t="n"/>
      <c r="O121" s="9" t="n"/>
      <c r="P121" s="9" t="n"/>
      <c r="Q121" s="9" t="n"/>
      <c r="R121" s="9" t="n"/>
    </row>
    <row r="122" ht="92" customHeight="1">
      <c r="A122" s="6" t="inlineStr">
        <is>
          <t>TC-E2E-002</t>
        </is>
      </c>
      <c r="B122" s="6" t="inlineStr">
        <is>
          <t>End-to-End</t>
        </is>
      </c>
      <c r="C122" s="6" t="inlineStr">
        <is>
          <t>Purchase journey when the user is already logged in</t>
        </is>
      </c>
      <c r="D122" s="6" t="inlineStr">
        <is>
          <t>End-to-End</t>
        </is>
      </c>
      <c r="E122" s="7" t="inlineStr">
        <is>
          <t>P1</t>
        </is>
      </c>
      <c r="F122" s="6" t="inlineStr">
        <is>
          <t>Conversion</t>
        </is>
      </c>
      <c r="G122" s="6" t="inlineStr">
        <is>
          <t>User is already logged in. Cart is empty.</t>
        </is>
      </c>
      <c r="H122" s="6" t="inlineStr">
        <is>
          <t>1. Add two different products to the cart with different quantities
2. Open the cart and verify both lines and the total
3. Proceed to checkout
4. Verify no login prompt appears
5. Complete shipping, payment and review
6. Place the order and verify the confirmation</t>
        </is>
      </c>
      <c r="I122" s="6" t="inlineStr">
        <is>
          <t>Checkout proceeds straight to shipping with no login interruption. The rest of the journey behaves identically to the logged-out variant.</t>
        </is>
      </c>
      <c r="J122" s="6" t="inlineStr">
        <is>
          <t>End-to-end scenario (alternate entry state)</t>
        </is>
      </c>
      <c r="K122" s="6" t="inlineStr">
        <is>
          <t>R-22</t>
        </is>
      </c>
      <c r="L122" s="6" t="inlineStr">
        <is>
          <t>Yes</t>
        </is>
      </c>
      <c r="M122" s="8" t="inlineStr">
        <is>
          <t>Not Run</t>
        </is>
      </c>
      <c r="N122" s="9" t="n"/>
      <c r="O122" s="9" t="n"/>
      <c r="P122" s="9" t="n"/>
      <c r="Q122" s="9" t="n"/>
      <c r="R122" s="9" t="n"/>
    </row>
    <row r="123" ht="92" customHeight="1">
      <c r="A123" s="6" t="inlineStr">
        <is>
          <t>TC-E2E-003</t>
        </is>
      </c>
      <c r="B123" s="6" t="inlineStr">
        <is>
          <t>End-to-End</t>
        </is>
      </c>
      <c r="C123" s="6" t="inlineStr">
        <is>
          <t>Journey with a mid-flow correction: edit the cart before checkout</t>
        </is>
      </c>
      <c r="D123" s="6" t="inlineStr">
        <is>
          <t>End-to-End</t>
        </is>
      </c>
      <c r="E123" s="10" t="inlineStr">
        <is>
          <t>P2</t>
        </is>
      </c>
      <c r="F123" s="6" t="inlineStr">
        <is>
          <t>Conversion</t>
        </is>
      </c>
      <c r="G123" s="6" t="inlineStr">
        <is>
          <t>Cart is empty. User is logged in.</t>
        </is>
      </c>
      <c r="H123" s="6" t="inlineStr">
        <is>
          <t>1. Add three different products to the cart
2. Open the cart and increase one line's quantity to 4
3. Remove a different line entirely
4. Verify the total against the remaining lines by hand
5. Complete checkout and verify the review screen matches the edited cart
6. Place the order</t>
        </is>
      </c>
      <c r="I123" s="6" t="inlineStr">
        <is>
          <t>The order placed reflects the edited cart exactly, not the original one. Edits made in the cart must propagate all the way to the review screen and the total.</t>
        </is>
      </c>
      <c r="J123" s="6" t="inlineStr">
        <is>
          <t>End-to-end scenario (mid-flow modification)</t>
        </is>
      </c>
      <c r="K123" s="6" t="inlineStr">
        <is>
          <t>R-21</t>
        </is>
      </c>
      <c r="L123" s="6" t="inlineStr">
        <is>
          <t>Yes</t>
        </is>
      </c>
      <c r="M123" s="8" t="inlineStr">
        <is>
          <t>Not Run</t>
        </is>
      </c>
      <c r="N123" s="9" t="n"/>
      <c r="O123" s="9" t="n"/>
      <c r="P123" s="9" t="n"/>
      <c r="Q123" s="9" t="n"/>
      <c r="R123" s="9" t="n"/>
    </row>
    <row r="124" ht="92" customHeight="1">
      <c r="A124" s="6" t="inlineStr">
        <is>
          <t>TC-E2E-004</t>
        </is>
      </c>
      <c r="B124" s="6" t="inlineStr">
        <is>
          <t>End-to-End</t>
        </is>
      </c>
      <c r="C124" s="6" t="inlineStr">
        <is>
          <t>Abandoned journey resumed after an app restart</t>
        </is>
      </c>
      <c r="D124" s="6" t="inlineStr">
        <is>
          <t>End-to-End</t>
        </is>
      </c>
      <c r="E124" s="10" t="inlineStr">
        <is>
          <t>P2</t>
        </is>
      </c>
      <c r="F124" s="6" t="inlineStr">
        <is>
          <t>Conversion</t>
        </is>
      </c>
      <c r="G124" s="6" t="inlineStr">
        <is>
          <t>Cart is empty. User is logged in.</t>
        </is>
      </c>
      <c r="H124" s="6" t="inlineStr">
        <is>
          <t>1. Add two products to the cart
2. Proceed to checkout and fill in the shipping address
3. Force-stop the app: adb shell am force-stop com.saucelabs.mydemoapp.android
4. Relaunch the app
5. Determine where the app resumes and whether the cart is intact
6. Complete the purchase from wherever you land</t>
        </is>
      </c>
      <c r="I124" s="6" t="inlineStr">
        <is>
          <t>The cart survives. The user can complete the purchase without rebuilding it. Record whether the shipping data was retained — losing it is acceptable, losing the cart is not.</t>
        </is>
      </c>
      <c r="J124" s="6" t="inlineStr">
        <is>
          <t>End-to-end scenario (interrupted journey)</t>
        </is>
      </c>
      <c r="K124" s="6" t="inlineStr">
        <is>
          <t>R-05</t>
        </is>
      </c>
      <c r="L124" s="6" t="inlineStr">
        <is>
          <t>No</t>
        </is>
      </c>
      <c r="M124" s="8" t="inlineStr">
        <is>
          <t>Not Run</t>
        </is>
      </c>
      <c r="N124" s="9" t="n"/>
      <c r="O124" s="9" t="n"/>
      <c r="P124" s="9" t="n"/>
      <c r="Q124" s="9" t="n"/>
      <c r="R124" s="9" t="n"/>
    </row>
    <row r="125" ht="92" customHeight="1">
      <c r="A125" s="6" t="inlineStr">
        <is>
          <t>TC-E2E-005</t>
        </is>
      </c>
      <c r="B125" s="6" t="inlineStr">
        <is>
          <t>End-to-End</t>
        </is>
      </c>
      <c r="C125" s="6" t="inlineStr">
        <is>
          <t>Second consecutive purchase in the same session</t>
        </is>
      </c>
      <c r="D125" s="6" t="inlineStr">
        <is>
          <t>End-to-End</t>
        </is>
      </c>
      <c r="E125" s="10" t="inlineStr">
        <is>
          <t>P2</t>
        </is>
      </c>
      <c r="F125" s="6" t="inlineStr">
        <is>
          <t>Conversion</t>
        </is>
      </c>
      <c r="G125" s="6" t="inlineStr">
        <is>
          <t>User has just completed an order.</t>
        </is>
      </c>
      <c r="H125" s="6" t="inlineStr">
        <is>
          <t>1. From the confirmation screen, tap continue shopping
2. Add a different product to the cart
3. Verify the badge shows only the new item
4. Complete a second full checkout
5. Verify the second review screen shows only the second order's contents</t>
        </is>
      </c>
      <c r="I125" s="6" t="inlineStr">
        <is>
          <t>The second order is completely independent of the first. No items, addresses or totals leak between orders. State left over from a previous order is a classic source of wrong-order defects.</t>
        </is>
      </c>
      <c r="J125" s="6" t="inlineStr">
        <is>
          <t>End-to-end scenario (repeat transaction)</t>
        </is>
      </c>
      <c r="K125" s="6" t="inlineStr">
        <is>
          <t>R-28</t>
        </is>
      </c>
      <c r="L125" s="6" t="inlineStr">
        <is>
          <t>Yes</t>
        </is>
      </c>
      <c r="M125" s="8" t="inlineStr">
        <is>
          <t>Not Run</t>
        </is>
      </c>
      <c r="N125" s="9" t="n"/>
      <c r="O125" s="9" t="n"/>
      <c r="P125" s="9" t="n"/>
      <c r="Q125" s="9" t="n"/>
      <c r="R125" s="9" t="n"/>
    </row>
    <row r="126" ht="92" customHeight="1">
      <c r="A126" s="6" t="inlineStr">
        <is>
          <t>TC-NAV-001</t>
        </is>
      </c>
      <c r="B126" s="6" t="inlineStr">
        <is>
          <t>Menu &amp; Navigation</t>
        </is>
      </c>
      <c r="C126" s="6" t="inlineStr">
        <is>
          <t>Menu opens and lists every expected destination</t>
        </is>
      </c>
      <c r="D126" s="6" t="inlineStr">
        <is>
          <t>Smoke</t>
        </is>
      </c>
      <c r="E126" s="7" t="inlineStr">
        <is>
          <t>P1</t>
        </is>
      </c>
      <c r="F126" s="6" t="inlineStr">
        <is>
          <t>Cross-cutting</t>
        </is>
      </c>
      <c r="G126" s="6" t="inlineStr">
        <is>
          <t>App launched.</t>
        </is>
      </c>
      <c r="H126" s="6" t="inlineStr">
        <is>
          <t>1. Tap the hamburger menu icon
2. List every entry shown, scrolling if necessary
3. Note the login state entry</t>
        </is>
      </c>
      <c r="I126" s="6" t="inlineStr">
        <is>
          <t>The menu opens and lists the catalogue, the webview, the QR scanner, geo location, drawing, about, reset app state, biometrics, virtual USB and the login or logout entry. Record the full list you actually see. No entry is blank or duplicated.</t>
        </is>
      </c>
      <c r="J126" s="6" t="inlineStr">
        <is>
          <t>Specification-based (use case)</t>
        </is>
      </c>
      <c r="K126" s="6" t="inlineStr">
        <is>
          <t>R-30</t>
        </is>
      </c>
      <c r="L126" s="6" t="inlineStr">
        <is>
          <t>Yes</t>
        </is>
      </c>
      <c r="M126" s="8" t="inlineStr">
        <is>
          <t>Not Run</t>
        </is>
      </c>
      <c r="N126" s="9" t="n"/>
      <c r="O126" s="9" t="n"/>
      <c r="P126" s="9" t="n"/>
      <c r="Q126" s="9" t="n"/>
      <c r="R126" s="9" t="n"/>
    </row>
    <row r="127" ht="92" customHeight="1">
      <c r="A127" s="6" t="inlineStr">
        <is>
          <t>TC-NAV-002</t>
        </is>
      </c>
      <c r="B127" s="6" t="inlineStr">
        <is>
          <t>Menu &amp; Navigation</t>
        </is>
      </c>
      <c r="C127" s="6" t="inlineStr">
        <is>
          <t>Every menu entry opens its own distinct screen</t>
        </is>
      </c>
      <c r="D127" s="6" t="inlineStr">
        <is>
          <t>Functional</t>
        </is>
      </c>
      <c r="E127" s="7" t="inlineStr">
        <is>
          <t>P1</t>
        </is>
      </c>
      <c r="F127" s="6" t="inlineStr">
        <is>
          <t>Cross-cutting</t>
        </is>
      </c>
      <c r="G127" s="6" t="inlineStr">
        <is>
          <t>Menu is open.</t>
        </is>
      </c>
      <c r="H127" s="6" t="inlineStr">
        <is>
          <t>1. Tap each menu entry in turn
2. After each, confirm which screen opened and that it is the one named
3. Return to the menu each time</t>
        </is>
      </c>
      <c r="I127" s="6" t="inlineStr">
        <is>
          <t>Each entry opens the screen its label promises. No entry opens a blank screen, the wrong destination, or crashes the app.</t>
        </is>
      </c>
      <c r="J127" s="6" t="inlineStr">
        <is>
          <t>Specification-based (exhaustive traversal)</t>
        </is>
      </c>
      <c r="K127" s="6" t="inlineStr">
        <is>
          <t>R-30</t>
        </is>
      </c>
      <c r="L127" s="6" t="inlineStr">
        <is>
          <t>Yes</t>
        </is>
      </c>
      <c r="M127" s="8" t="inlineStr">
        <is>
          <t>Not Run</t>
        </is>
      </c>
      <c r="N127" s="9" t="n"/>
      <c r="O127" s="9" t="n"/>
      <c r="P127" s="9" t="n"/>
      <c r="Q127" s="9" t="n"/>
      <c r="R127" s="9" t="n"/>
    </row>
    <row r="128" ht="92" customHeight="1">
      <c r="A128" s="6" t="inlineStr">
        <is>
          <t>TC-NAV-003</t>
        </is>
      </c>
      <c r="B128" s="6" t="inlineStr">
        <is>
          <t>Menu &amp; Navigation</t>
        </is>
      </c>
      <c r="C128" s="6" t="inlineStr">
        <is>
          <t>Menu can be dismissed without selecting anything</t>
        </is>
      </c>
      <c r="D128" s="6" t="inlineStr">
        <is>
          <t>Functional</t>
        </is>
      </c>
      <c r="E128" s="10" t="inlineStr">
        <is>
          <t>P2</t>
        </is>
      </c>
      <c r="F128" s="6" t="inlineStr">
        <is>
          <t>Cross-cutting</t>
        </is>
      </c>
      <c r="G128" s="6" t="inlineStr">
        <is>
          <t>Menu is open on top of the Catalog.</t>
        </is>
      </c>
      <c r="H128" s="6" t="inlineStr">
        <is>
          <t>1. Tap outside the menu panel and observe
2. Reopen the menu and press the system back button
3. Reopen the menu and swipe it closed if the gesture is supported</t>
        </is>
      </c>
      <c r="I128" s="6" t="inlineStr">
        <is>
          <t>Each method closes the menu and returns to the underlying screen unchanged. A menu that can only be dismissed by choosing a destination traps the user.</t>
        </is>
      </c>
      <c r="J128" s="6" t="inlineStr">
        <is>
          <t>State transition testing</t>
        </is>
      </c>
      <c r="K128" s="6" t="inlineStr">
        <is>
          <t>R-30</t>
        </is>
      </c>
      <c r="L128" s="6" t="inlineStr">
        <is>
          <t>No</t>
        </is>
      </c>
      <c r="M128" s="8" t="inlineStr">
        <is>
          <t>Not Run</t>
        </is>
      </c>
      <c r="N128" s="9" t="n"/>
      <c r="O128" s="9" t="n"/>
      <c r="P128" s="9" t="n"/>
      <c r="Q128" s="9" t="n"/>
      <c r="R128" s="9" t="n"/>
    </row>
    <row r="129" ht="92" customHeight="1">
      <c r="A129" s="6" t="inlineStr">
        <is>
          <t>TC-NAV-004</t>
        </is>
      </c>
      <c r="B129" s="6" t="inlineStr">
        <is>
          <t>Menu &amp; Navigation</t>
        </is>
      </c>
      <c r="C129" s="6" t="inlineStr">
        <is>
          <t>Back button from the first screen exits rather than looping</t>
        </is>
      </c>
      <c r="D129" s="6" t="inlineStr">
        <is>
          <t>Functional</t>
        </is>
      </c>
      <c r="E129" s="10" t="inlineStr">
        <is>
          <t>P2</t>
        </is>
      </c>
      <c r="F129" s="6" t="inlineStr">
        <is>
          <t>Cross-cutting</t>
        </is>
      </c>
      <c r="G129" s="6" t="inlineStr">
        <is>
          <t>App is on the Catalog, reached directly after launch.</t>
        </is>
      </c>
      <c r="H129" s="6" t="inlineStr">
        <is>
          <t>1. Press the system back button once
2. Observe the behaviour</t>
        </is>
      </c>
      <c r="I129" s="6" t="inlineStr">
        <is>
          <t>The app exits to the device home screen, or shows a confirmation before exiting. It must not loop between screens or leave a blank screen visible.</t>
        </is>
      </c>
      <c r="J129" s="6" t="inlineStr">
        <is>
          <t>State transition testing</t>
        </is>
      </c>
      <c r="K129" s="6" t="inlineStr">
        <is>
          <t>R-30</t>
        </is>
      </c>
      <c r="L129" s="6" t="inlineStr">
        <is>
          <t>No</t>
        </is>
      </c>
      <c r="M129" s="8" t="inlineStr">
        <is>
          <t>Not Run</t>
        </is>
      </c>
      <c r="N129" s="9" t="n"/>
      <c r="O129" s="9" t="n"/>
      <c r="P129" s="9" t="n"/>
      <c r="Q129" s="9" t="n"/>
      <c r="R129" s="9" t="n"/>
    </row>
    <row r="130" ht="92" customHeight="1">
      <c r="A130" s="6" t="inlineStr">
        <is>
          <t>TC-NAV-005</t>
        </is>
      </c>
      <c r="B130" s="6" t="inlineStr">
        <is>
          <t>Menu &amp; Navigation</t>
        </is>
      </c>
      <c r="C130" s="6" t="inlineStr">
        <is>
          <t>Deep back-stack navigation unwinds one screen at a time</t>
        </is>
      </c>
      <c r="D130" s="6" t="inlineStr">
        <is>
          <t>Functional</t>
        </is>
      </c>
      <c r="E130" s="10" t="inlineStr">
        <is>
          <t>P2</t>
        </is>
      </c>
      <c r="F130" s="6" t="inlineStr">
        <is>
          <t>Cross-cutting</t>
        </is>
      </c>
      <c r="G130" s="6" t="inlineStr">
        <is>
          <t>User is four screens deep: Catalog, product detail, cart, checkout shipping.</t>
        </is>
      </c>
      <c r="H130" s="6" t="inlineStr">
        <is>
          <t>1. Navigate Catalog to product detail to cart to checkout shipping
2. Press back and note the screen
3. Repeat until you reach the Catalog, noting each screen</t>
        </is>
      </c>
      <c r="I130" s="6" t="inlineStr">
        <is>
          <t>Each back press moves exactly one screen up the stack in reverse order. The user is never dropped straight to the Catalog from a deep screen, and never enters a loop.</t>
        </is>
      </c>
      <c r="J130" s="6" t="inlineStr">
        <is>
          <t>State transition testing</t>
        </is>
      </c>
      <c r="K130" s="6" t="inlineStr">
        <is>
          <t>R-30</t>
        </is>
      </c>
      <c r="L130" s="6" t="inlineStr">
        <is>
          <t>Yes</t>
        </is>
      </c>
      <c r="M130" s="8" t="inlineStr">
        <is>
          <t>Not Run</t>
        </is>
      </c>
      <c r="N130" s="9" t="n"/>
      <c r="O130" s="9" t="n"/>
      <c r="P130" s="9" t="n"/>
      <c r="Q130" s="9" t="n"/>
      <c r="R130" s="9" t="n"/>
    </row>
    <row r="131" ht="92" customHeight="1">
      <c r="A131" s="6" t="inlineStr">
        <is>
          <t>TC-NAV-006</t>
        </is>
      </c>
      <c r="B131" s="6" t="inlineStr">
        <is>
          <t>Menu &amp; Navigation</t>
        </is>
      </c>
      <c r="C131" s="6" t="inlineStr">
        <is>
          <t>Rapid switching between menu destinations leaves a correct final screen</t>
        </is>
      </c>
      <c r="D131" s="6" t="inlineStr">
        <is>
          <t>Destructive</t>
        </is>
      </c>
      <c r="E131" s="10" t="inlineStr">
        <is>
          <t>P2</t>
        </is>
      </c>
      <c r="F131" s="6" t="inlineStr">
        <is>
          <t>Cross-cutting</t>
        </is>
      </c>
      <c r="G131" s="6" t="inlineStr">
        <is>
          <t>App launched.</t>
        </is>
      </c>
      <c r="H131" s="6" t="inlineStr">
        <is>
          <t>1. Open the menu and tap a destination, then immediately open the menu again and tap a different one
2. Repeat rapidly across all destinations, at least fifteen switches
3. Settle on the Catalog and verify it is fully functional</t>
        </is>
      </c>
      <c r="I131" s="6" t="inlineStr">
        <is>
          <t>No crash, no frozen screen, no content from one screen bleeding into another. The final screen is fully rendered and interactive.</t>
        </is>
      </c>
      <c r="J131" s="6" t="inlineStr">
        <is>
          <t>Destructive (rapid state change)</t>
        </is>
      </c>
      <c r="K131" s="6" t="inlineStr">
        <is>
          <t>R-15</t>
        </is>
      </c>
      <c r="L131" s="6" t="inlineStr">
        <is>
          <t>No</t>
        </is>
      </c>
      <c r="M131" s="8" t="inlineStr">
        <is>
          <t>Not Run</t>
        </is>
      </c>
      <c r="N131" s="9" t="n"/>
      <c r="O131" s="9" t="n"/>
      <c r="P131" s="9" t="n"/>
      <c r="Q131" s="9" t="n"/>
      <c r="R131" s="9" t="n"/>
    </row>
    <row r="132" ht="92" customHeight="1">
      <c r="A132" s="6" t="inlineStr">
        <is>
          <t>TC-NAV-007</t>
        </is>
      </c>
      <c r="B132" s="6" t="inlineStr">
        <is>
          <t>Menu &amp; Navigation</t>
        </is>
      </c>
      <c r="C132" s="6" t="inlineStr">
        <is>
          <t>Menu is navigable with a screen reader</t>
        </is>
      </c>
      <c r="D132" s="6" t="inlineStr">
        <is>
          <t>Accessibility</t>
        </is>
      </c>
      <c r="E132" s="10" t="inlineStr">
        <is>
          <t>P2</t>
        </is>
      </c>
      <c r="F132" s="6" t="inlineStr">
        <is>
          <t>Cross-cutting</t>
        </is>
      </c>
      <c r="G132" s="6" t="inlineStr">
        <is>
          <t>TalkBack enabled.</t>
        </is>
      </c>
      <c r="H132" s="6" t="inlineStr">
        <is>
          <t>1. Traverse to the menu icon with TalkBack and activate it
2. Traverse every menu entry
3. Confirm each is announced by its name and that focus does not escape the open menu</t>
        </is>
      </c>
      <c r="I132" s="6" t="inlineStr">
        <is>
          <t>The menu icon announces its purpose. Every entry is announced by name. While the menu is open, focus stays within it rather than reaching the obscured content behind — otherwise a blind user can activate something they cannot see.</t>
        </is>
      </c>
      <c r="J132" s="6" t="inlineStr">
        <is>
          <t>Accessibility (WCAG 2.4.3 Focus Order)</t>
        </is>
      </c>
      <c r="K132" s="6" t="inlineStr">
        <is>
          <t>R-13</t>
        </is>
      </c>
      <c r="L132" s="6" t="inlineStr">
        <is>
          <t>No</t>
        </is>
      </c>
      <c r="M132" s="8" t="inlineStr">
        <is>
          <t>Not Run</t>
        </is>
      </c>
      <c r="N132" s="9" t="n"/>
      <c r="O132" s="9" t="n"/>
      <c r="P132" s="9" t="n"/>
      <c r="Q132" s="9" t="n"/>
      <c r="R132" s="9" t="n"/>
    </row>
    <row r="133" ht="92" customHeight="1">
      <c r="A133" s="6" t="inlineStr">
        <is>
          <t>TC-WEB-001</t>
        </is>
      </c>
      <c r="B133" s="6" t="inlineStr">
        <is>
          <t>WebView</t>
        </is>
      </c>
      <c r="C133" s="6" t="inlineStr">
        <is>
          <t>WebView screen accepts a valid HTTPS URL and renders the page</t>
        </is>
      </c>
      <c r="D133" s="6" t="inlineStr">
        <is>
          <t>Functional</t>
        </is>
      </c>
      <c r="E133" s="10" t="inlineStr">
        <is>
          <t>P2</t>
        </is>
      </c>
      <c r="F133" s="6" t="inlineStr">
        <is>
          <t>Cross-cutting</t>
        </is>
      </c>
      <c r="G133" s="6" t="inlineStr">
        <is>
          <t>Device has network access. User is on the WebView screen.</t>
        </is>
      </c>
      <c r="H133" s="6" t="inlineStr">
        <is>
          <t>1. Read the field hint and the instruction text
2. Enter https://www.saucelabs.com
3. Tap the go-to-site control
4. Observe the rendered page</t>
        </is>
      </c>
      <c r="I133" s="6" t="inlineStr">
        <is>
          <t>The page loads inside the app and is scrollable. The app does not hand off to an external browser if the design is to render in place.</t>
        </is>
      </c>
      <c r="J133" s="6" t="inlineStr">
        <is>
          <t>Specification-based (use case)</t>
        </is>
      </c>
      <c r="K133" s="6" t="inlineStr">
        <is>
          <t>R-19</t>
        </is>
      </c>
      <c r="L133" s="6" t="inlineStr">
        <is>
          <t>No</t>
        </is>
      </c>
      <c r="M133" s="8" t="inlineStr">
        <is>
          <t>Not Run</t>
        </is>
      </c>
      <c r="N133" s="9" t="n"/>
      <c r="O133" s="9" t="n"/>
      <c r="P133" s="9" t="n"/>
      <c r="Q133" s="9" t="n"/>
      <c r="R133" s="9" t="n"/>
    </row>
    <row r="134" ht="92" customHeight="1">
      <c r="A134" s="6" t="inlineStr">
        <is>
          <t>TC-WEB-002</t>
        </is>
      </c>
      <c r="B134" s="6" t="inlineStr">
        <is>
          <t>WebView</t>
        </is>
      </c>
      <c r="C134" s="6" t="inlineStr">
        <is>
          <t>WebView rejects a non-HTTPS URL with a clear message</t>
        </is>
      </c>
      <c r="D134" s="6" t="inlineStr">
        <is>
          <t>Negative</t>
        </is>
      </c>
      <c r="E134" s="10" t="inlineStr">
        <is>
          <t>P2</t>
        </is>
      </c>
      <c r="F134" s="6" t="inlineStr">
        <is>
          <t>Cross-cutting</t>
        </is>
      </c>
      <c r="G134" s="6" t="inlineStr">
        <is>
          <t>User is on the WebView screen.</t>
        </is>
      </c>
      <c r="H134" s="6" t="inlineStr">
        <is>
          <t>1. Enter http://example.com and submit
2. Read the message shown
3. Enter ftp://example.com and submit
4. Enter 'not a url' and submit</t>
        </is>
      </c>
      <c r="I134" s="6" t="inlineStr">
        <is>
          <t>Each non-HTTPS or malformed input is refused with a message stating an HTTPS URL is required. Loading plain HTTP content inside an app is an insecure-transport weakness, so this validation existing is the correct behaviour.</t>
        </is>
      </c>
      <c r="J134" s="6" t="inlineStr">
        <is>
          <t>Equivalence partitioning (scheme classes)</t>
        </is>
      </c>
      <c r="K134" s="6" t="inlineStr">
        <is>
          <t>R-03</t>
        </is>
      </c>
      <c r="L134" s="6" t="inlineStr">
        <is>
          <t>Yes</t>
        </is>
      </c>
      <c r="M134" s="8" t="inlineStr">
        <is>
          <t>Not Run</t>
        </is>
      </c>
      <c r="N134" s="9" t="n"/>
      <c r="O134" s="9" t="n"/>
      <c r="P134" s="9" t="n"/>
      <c r="Q134" s="9" t="n"/>
      <c r="R134" s="9" t="n"/>
    </row>
    <row r="135" ht="92" customHeight="1">
      <c r="A135" s="6" t="inlineStr">
        <is>
          <t>TC-WEB-003</t>
        </is>
      </c>
      <c r="B135" s="6" t="inlineStr">
        <is>
          <t>WebView</t>
        </is>
      </c>
      <c r="C135" s="6" t="inlineStr">
        <is>
          <t>WebView handles an unreachable URL without hanging</t>
        </is>
      </c>
      <c r="D135" s="6" t="inlineStr">
        <is>
          <t>Destructive</t>
        </is>
      </c>
      <c r="E135" s="11" t="inlineStr">
        <is>
          <t>P3</t>
        </is>
      </c>
      <c r="F135" s="6" t="inlineStr">
        <is>
          <t>Cross-cutting</t>
        </is>
      </c>
      <c r="G135" s="6" t="inlineStr">
        <is>
          <t>User is on the WebView screen.</t>
        </is>
      </c>
      <c r="H135" s="6" t="inlineStr">
        <is>
          <t>1. Enter https://this-domain-does-not-exist-99887766.com and submit
2. Observe the screen for up to 30 seconds
3. Enable airplane mode, enter a valid URL and submit</t>
        </is>
      </c>
      <c r="I135" s="6" t="inlineStr">
        <is>
          <t>An error is shown within a reasonable timeout in both cases. There is no indefinite spinner and no blank screen with no explanation, and the app remains responsive.</t>
        </is>
      </c>
      <c r="J135" s="6" t="inlineStr">
        <is>
          <t>Destructive (unreachable resource)</t>
        </is>
      </c>
      <c r="K135" s="6" t="inlineStr">
        <is>
          <t>R-14</t>
        </is>
      </c>
      <c r="L135" s="6" t="inlineStr">
        <is>
          <t>No</t>
        </is>
      </c>
      <c r="M135" s="8" t="inlineStr">
        <is>
          <t>Not Run</t>
        </is>
      </c>
      <c r="N135" s="9" t="n"/>
      <c r="O135" s="9" t="n"/>
      <c r="P135" s="9" t="n"/>
      <c r="Q135" s="9" t="n"/>
      <c r="R135" s="9" t="n"/>
    </row>
    <row r="136" ht="92" customHeight="1">
      <c r="A136" s="6" t="inlineStr">
        <is>
          <t>TC-WEB-004</t>
        </is>
      </c>
      <c r="B136" s="6" t="inlineStr">
        <is>
          <t>WebView</t>
        </is>
      </c>
      <c r="C136" s="6" t="inlineStr">
        <is>
          <t>URL field does not execute injected script content</t>
        </is>
      </c>
      <c r="D136" s="6" t="inlineStr">
        <is>
          <t>Input Validation</t>
        </is>
      </c>
      <c r="E136" s="10" t="inlineStr">
        <is>
          <t>P2</t>
        </is>
      </c>
      <c r="F136" s="6" t="inlineStr">
        <is>
          <t>Cross-cutting</t>
        </is>
      </c>
      <c r="G136" s="6" t="inlineStr">
        <is>
          <t>User is on the WebView screen.</t>
        </is>
      </c>
      <c r="H136" s="6" t="inlineStr">
        <is>
          <t>1. Enter javascript:alert(1) and submit
2. Observe whether any dialog appears
3. Enter data:text/html,&lt;script&gt;alert(1)&lt;/script&gt; and submit
4. Observe the result</t>
        </is>
      </c>
      <c r="I136" s="6" t="inlineStr">
        <is>
          <t>Both are refused by the HTTPS validation. No dialog executes. This is a client-side input-validation check on a demo app, not an attempt to compromise anything.</t>
        </is>
      </c>
      <c r="J136" s="6" t="inlineStr">
        <is>
          <t>Input validation</t>
        </is>
      </c>
      <c r="K136" s="6" t="inlineStr">
        <is>
          <t>R-03</t>
        </is>
      </c>
      <c r="L136" s="6" t="inlineStr">
        <is>
          <t>No</t>
        </is>
      </c>
      <c r="M136" s="8" t="inlineStr">
        <is>
          <t>Not Run</t>
        </is>
      </c>
      <c r="N136" s="9" t="n"/>
      <c r="O136" s="9" t="n"/>
      <c r="P136" s="9" t="n"/>
      <c r="Q136" s="9" t="n"/>
      <c r="R136" s="9" t="n"/>
    </row>
    <row r="137" ht="92" customHeight="1">
      <c r="A137" s="6" t="inlineStr">
        <is>
          <t>TC-GEO-001</t>
        </is>
      </c>
      <c r="B137" s="6" t="inlineStr">
        <is>
          <t>Geo Location</t>
        </is>
      </c>
      <c r="C137" s="6" t="inlineStr">
        <is>
          <t>Geo location screen requests permission and then reports coordinates</t>
        </is>
      </c>
      <c r="D137" s="6" t="inlineStr">
        <is>
          <t>Functional</t>
        </is>
      </c>
      <c r="E137" s="11" t="inlineStr">
        <is>
          <t>P3</t>
        </is>
      </c>
      <c r="F137" s="6" t="inlineStr">
        <is>
          <t>Cross-cutting</t>
        </is>
      </c>
      <c r="G137" s="6" t="inlineStr">
        <is>
          <t>Location permission not yet granted. Device location services enabled.</t>
        </is>
      </c>
      <c r="H137" s="6" t="inlineStr">
        <is>
          <t>1. Open the geo location screen from the menu
2. Observe any permission prompt and grant it
3. Read the explanatory text
4. Wait for latitude and longitude to populate</t>
        </is>
      </c>
      <c r="I137" s="6" t="inlineStr">
        <is>
          <t>A permission prompt appears before any location access. After granting, latitude and longitude populate with plausible values. The screen explains that determining position may take a while, so the wait is not mistaken for a hang.</t>
        </is>
      </c>
      <c r="J137" s="6" t="inlineStr">
        <is>
          <t>Specification-based (permission flow)</t>
        </is>
      </c>
      <c r="K137" s="6" t="inlineStr">
        <is>
          <t>R-31</t>
        </is>
      </c>
      <c r="L137" s="6" t="inlineStr">
        <is>
          <t>No</t>
        </is>
      </c>
      <c r="M137" s="8" t="inlineStr">
        <is>
          <t>Not Run</t>
        </is>
      </c>
      <c r="N137" s="9" t="n"/>
      <c r="O137" s="9" t="n"/>
      <c r="P137" s="9" t="n"/>
      <c r="Q137" s="9" t="n"/>
      <c r="R137" s="9" t="n"/>
    </row>
    <row r="138" ht="92" customHeight="1">
      <c r="A138" s="6" t="inlineStr">
        <is>
          <t>TC-GEO-002</t>
        </is>
      </c>
      <c r="B138" s="6" t="inlineStr">
        <is>
          <t>Geo Location</t>
        </is>
      </c>
      <c r="C138" s="6" t="inlineStr">
        <is>
          <t>Denying location permission is handled gracefully</t>
        </is>
      </c>
      <c r="D138" s="6" t="inlineStr">
        <is>
          <t>Negative</t>
        </is>
      </c>
      <c r="E138" s="11" t="inlineStr">
        <is>
          <t>P3</t>
        </is>
      </c>
      <c r="F138" s="6" t="inlineStr">
        <is>
          <t>Cross-cutting</t>
        </is>
      </c>
      <c r="G138" s="6" t="inlineStr">
        <is>
          <t>Location permission not granted.</t>
        </is>
      </c>
      <c r="H138" s="6" t="inlineStr">
        <is>
          <t>1. Open the geo location screen
2. Deny the permission prompt
3. Observe the screen and any message
4. Attempt to start observing</t>
        </is>
      </c>
      <c r="I138" s="6" t="inlineStr">
        <is>
          <t>The app explains that location is unavailable without permission and does not crash. Silently showing empty coordinates with no explanation leaves the user unable to diagnose the problem.</t>
        </is>
      </c>
      <c r="J138" s="6" t="inlineStr">
        <is>
          <t>Negative path (permission denied)</t>
        </is>
      </c>
      <c r="K138" s="6" t="inlineStr">
        <is>
          <t>R-31</t>
        </is>
      </c>
      <c r="L138" s="6" t="inlineStr">
        <is>
          <t>No</t>
        </is>
      </c>
      <c r="M138" s="8" t="inlineStr">
        <is>
          <t>Not Run</t>
        </is>
      </c>
      <c r="N138" s="9" t="n"/>
      <c r="O138" s="9" t="n"/>
      <c r="P138" s="9" t="n"/>
      <c r="Q138" s="9" t="n"/>
      <c r="R138" s="9" t="n"/>
    </row>
    <row r="139" ht="92" customHeight="1">
      <c r="A139" s="6" t="inlineStr">
        <is>
          <t>TC-GEO-003</t>
        </is>
      </c>
      <c r="B139" s="6" t="inlineStr">
        <is>
          <t>Geo Location</t>
        </is>
      </c>
      <c r="C139" s="6" t="inlineStr">
        <is>
          <t>Start and stop observing controls behave as labelled</t>
        </is>
      </c>
      <c r="D139" s="6" t="inlineStr">
        <is>
          <t>Functional</t>
        </is>
      </c>
      <c r="E139" s="11" t="inlineStr">
        <is>
          <t>P3</t>
        </is>
      </c>
      <c r="F139" s="6" t="inlineStr">
        <is>
          <t>Cross-cutting</t>
        </is>
      </c>
      <c r="G139" s="6" t="inlineStr">
        <is>
          <t>Location permission granted. User is on the geo location screen.</t>
        </is>
      </c>
      <c r="H139" s="6" t="inlineStr">
        <is>
          <t>1. Tap stop observing and note whether the coordinates freeze
2. Move the device or wait, and confirm the values do not change
3. Tap start observing and confirm updates resume
4. Leave the screen and return</t>
        </is>
      </c>
      <c r="I139" s="6" t="inlineStr">
        <is>
          <t>Stop genuinely halts updates and start resumes them. The screen stops observing automatically when left, as its own explanatory text states — continuing to poll location in the background would be a battery and privacy concern.</t>
        </is>
      </c>
      <c r="J139" s="6" t="inlineStr">
        <is>
          <t>Specification-based (state transition)</t>
        </is>
      </c>
      <c r="K139" s="6" t="inlineStr">
        <is>
          <t>R-31</t>
        </is>
      </c>
      <c r="L139" s="6" t="inlineStr">
        <is>
          <t>No</t>
        </is>
      </c>
      <c r="M139" s="8" t="inlineStr">
        <is>
          <t>Not Run</t>
        </is>
      </c>
      <c r="N139" s="9" t="n"/>
      <c r="O139" s="9" t="n"/>
      <c r="P139" s="9" t="n"/>
      <c r="Q139" s="9" t="n"/>
      <c r="R139" s="9" t="n"/>
    </row>
    <row r="140" ht="92" customHeight="1">
      <c r="A140" s="6" t="inlineStr">
        <is>
          <t>TC-DRAW-001</t>
        </is>
      </c>
      <c r="B140" s="6" t="inlineStr">
        <is>
          <t>Drawing</t>
        </is>
      </c>
      <c r="C140" s="6" t="inlineStr">
        <is>
          <t>Drawing pad records strokes and the clear control erases them</t>
        </is>
      </c>
      <c r="D140" s="6" t="inlineStr">
        <is>
          <t>Functional</t>
        </is>
      </c>
      <c r="E140" s="11" t="inlineStr">
        <is>
          <t>P3</t>
        </is>
      </c>
      <c r="F140" s="6" t="inlineStr">
        <is>
          <t>Cross-cutting</t>
        </is>
      </c>
      <c r="G140" s="6" t="inlineStr">
        <is>
          <t>User is on the drawing screen.</t>
        </is>
      </c>
      <c r="H140" s="6" t="inlineStr">
        <is>
          <t>1. Draw several strokes across the pad
2. Confirm the strokes appear where you drew them
3. Tap clear
4. Observe the pad</t>
        </is>
      </c>
      <c r="I140" s="6" t="inlineStr">
        <is>
          <t>Strokes follow the finger accurately with no offset. Clear removes everything and leaves a blank pad. A visible offset between finger and stroke is a real defect on a drawing surface.</t>
        </is>
      </c>
      <c r="J140" s="6" t="inlineStr">
        <is>
          <t>Specification-based (use case)</t>
        </is>
      </c>
      <c r="K140" s="6" t="inlineStr">
        <is>
          <t>R-32</t>
        </is>
      </c>
      <c r="L140" s="6" t="inlineStr">
        <is>
          <t>No</t>
        </is>
      </c>
      <c r="M140" s="8" t="inlineStr">
        <is>
          <t>Not Run</t>
        </is>
      </c>
      <c r="N140" s="9" t="n"/>
      <c r="O140" s="9" t="n"/>
      <c r="P140" s="9" t="n"/>
      <c r="Q140" s="9" t="n"/>
      <c r="R140" s="9" t="n"/>
    </row>
    <row r="141" ht="92" customHeight="1">
      <c r="A141" s="6" t="inlineStr">
        <is>
          <t>TC-DRAW-002</t>
        </is>
      </c>
      <c r="B141" s="6" t="inlineStr">
        <is>
          <t>Drawing</t>
        </is>
      </c>
      <c r="C141" s="6" t="inlineStr">
        <is>
          <t>Save control on the drawing pad completes without error</t>
        </is>
      </c>
      <c r="D141" s="6" t="inlineStr">
        <is>
          <t>Functional</t>
        </is>
      </c>
      <c r="E141" s="11" t="inlineStr">
        <is>
          <t>P3</t>
        </is>
      </c>
      <c r="F141" s="6" t="inlineStr">
        <is>
          <t>Cross-cutting</t>
        </is>
      </c>
      <c r="G141" s="6" t="inlineStr">
        <is>
          <t>User has drawn something on the pad.</t>
        </is>
      </c>
      <c r="H141" s="6" t="inlineStr">
        <is>
          <t>1. Draw a recognisable shape
2. Tap save
3. Observe any confirmation or permission prompt
4. Leave the screen and return</t>
        </is>
      </c>
      <c r="I141" s="6" t="inlineStr">
        <is>
          <t>Save completes with clear feedback about what happened and where the drawing went. Record whether the drawing persists on return — silence after a save leaves the user unsure whether it worked.</t>
        </is>
      </c>
      <c r="J141" s="6" t="inlineStr">
        <is>
          <t>Specification-based (use case)</t>
        </is>
      </c>
      <c r="K141" s="6" t="inlineStr">
        <is>
          <t>R-32</t>
        </is>
      </c>
      <c r="L141" s="6" t="inlineStr">
        <is>
          <t>No</t>
        </is>
      </c>
      <c r="M141" s="8" t="inlineStr">
        <is>
          <t>Not Run</t>
        </is>
      </c>
      <c r="N141" s="9" t="n"/>
      <c r="O141" s="9" t="n"/>
      <c r="P141" s="9" t="n"/>
      <c r="Q141" s="9" t="n"/>
      <c r="R141" s="9" t="n"/>
    </row>
    <row r="142" ht="92" customHeight="1">
      <c r="A142" s="6" t="inlineStr">
        <is>
          <t>TC-DRAW-003</t>
        </is>
      </c>
      <c r="B142" s="6" t="inlineStr">
        <is>
          <t>Drawing</t>
        </is>
      </c>
      <c r="C142" s="6" t="inlineStr">
        <is>
          <t>Rotating the device while drawing does not crash the app</t>
        </is>
      </c>
      <c r="D142" s="6" t="inlineStr">
        <is>
          <t>Destructive</t>
        </is>
      </c>
      <c r="E142" s="11" t="inlineStr">
        <is>
          <t>P3</t>
        </is>
      </c>
      <c r="F142" s="6" t="inlineStr">
        <is>
          <t>Cross-cutting</t>
        </is>
      </c>
      <c r="G142" s="6" t="inlineStr">
        <is>
          <t>User is on the drawing screen with strokes drawn.</t>
        </is>
      </c>
      <c r="H142" s="6" t="inlineStr">
        <is>
          <t>1. Draw several strokes
2. Rotate the device to landscape
3. Observe whether the drawing survives and whether the layout is correct
4. Rotate back</t>
        </is>
      </c>
      <c r="I142" s="6" t="inlineStr">
        <is>
          <t>The app does not crash. Record whether the drawing is preserved across rotation — configuration-change data loss is a very common Android defect and worth reporting either way.</t>
        </is>
      </c>
      <c r="J142" s="6" t="inlineStr">
        <is>
          <t>Destructive (configuration change)</t>
        </is>
      </c>
      <c r="K142" s="6" t="inlineStr">
        <is>
          <t>R-12</t>
        </is>
      </c>
      <c r="L142" s="6" t="inlineStr">
        <is>
          <t>No</t>
        </is>
      </c>
      <c r="M142" s="8" t="inlineStr">
        <is>
          <t>Not Run</t>
        </is>
      </c>
      <c r="N142" s="9" t="n"/>
      <c r="O142" s="9" t="n"/>
      <c r="P142" s="9" t="n"/>
      <c r="Q142" s="9" t="n"/>
      <c r="R142" s="9" t="n"/>
    </row>
    <row r="143" ht="92" customHeight="1">
      <c r="A143" s="6" t="inlineStr">
        <is>
          <t>TC-QR-001</t>
        </is>
      </c>
      <c r="B143" s="6" t="inlineStr">
        <is>
          <t>QR Scanner</t>
        </is>
      </c>
      <c r="C143" s="6" t="inlineStr">
        <is>
          <t>QR scanner requests camera permission before opening the camera</t>
        </is>
      </c>
      <c r="D143" s="6" t="inlineStr">
        <is>
          <t>Functional</t>
        </is>
      </c>
      <c r="E143" s="11" t="inlineStr">
        <is>
          <t>P3</t>
        </is>
      </c>
      <c r="F143" s="6" t="inlineStr">
        <is>
          <t>Cross-cutting</t>
        </is>
      </c>
      <c r="G143" s="6" t="inlineStr">
        <is>
          <t>Camera permission not yet granted.</t>
        </is>
      </c>
      <c r="H143" s="6" t="inlineStr">
        <is>
          <t>1. Open the QR code scanner from the menu
2. Observe whether a permission prompt appears before the camera preview
3. Grant the permission</t>
        </is>
      </c>
      <c r="I143" s="6" t="inlineStr">
        <is>
          <t>A permission prompt appears before any camera preview is shown. After granting, a live camera preview appears. Opening the camera without asking would be a privacy defect.</t>
        </is>
      </c>
      <c r="J143" s="6" t="inlineStr">
        <is>
          <t>Specification-based (permission flow)</t>
        </is>
      </c>
      <c r="K143" s="6" t="inlineStr">
        <is>
          <t>R-31</t>
        </is>
      </c>
      <c r="L143" s="6" t="inlineStr">
        <is>
          <t>No</t>
        </is>
      </c>
      <c r="M143" s="8" t="inlineStr">
        <is>
          <t>Not Run</t>
        </is>
      </c>
      <c r="N143" s="9" t="n"/>
      <c r="O143" s="9" t="n"/>
      <c r="P143" s="9" t="n"/>
      <c r="Q143" s="9" t="n"/>
      <c r="R143" s="9" t="n"/>
    </row>
    <row r="144" ht="92" customHeight="1">
      <c r="A144" s="6" t="inlineStr">
        <is>
          <t>TC-QR-002</t>
        </is>
      </c>
      <c r="B144" s="6" t="inlineStr">
        <is>
          <t>QR Scanner</t>
        </is>
      </c>
      <c r="C144" s="6" t="inlineStr">
        <is>
          <t>Denying camera permission is handled gracefully</t>
        </is>
      </c>
      <c r="D144" s="6" t="inlineStr">
        <is>
          <t>Negative</t>
        </is>
      </c>
      <c r="E144" s="11" t="inlineStr">
        <is>
          <t>P3</t>
        </is>
      </c>
      <c r="F144" s="6" t="inlineStr">
        <is>
          <t>Cross-cutting</t>
        </is>
      </c>
      <c r="G144" s="6" t="inlineStr">
        <is>
          <t>Camera permission not granted.</t>
        </is>
      </c>
      <c r="H144" s="6" t="inlineStr">
        <is>
          <t>1. Open the QR code scanner
2. Deny the permission prompt
3. Observe the screen</t>
        </is>
      </c>
      <c r="I144" s="6" t="inlineStr">
        <is>
          <t>The app explains that the camera is required and does not crash. A black screen with no message leaves the user unable to understand what went wrong.</t>
        </is>
      </c>
      <c r="J144" s="6" t="inlineStr">
        <is>
          <t>Negative path (permission denied)</t>
        </is>
      </c>
      <c r="K144" s="6" t="inlineStr">
        <is>
          <t>R-31</t>
        </is>
      </c>
      <c r="L144" s="6" t="inlineStr">
        <is>
          <t>No</t>
        </is>
      </c>
      <c r="M144" s="8" t="inlineStr">
        <is>
          <t>Not Run</t>
        </is>
      </c>
      <c r="N144" s="9" t="n"/>
      <c r="O144" s="9" t="n"/>
      <c r="P144" s="9" t="n"/>
      <c r="Q144" s="9" t="n"/>
      <c r="R144" s="9" t="n"/>
    </row>
    <row r="145" ht="92" customHeight="1">
      <c r="A145" s="6" t="inlineStr">
        <is>
          <t>TC-QR-003</t>
        </is>
      </c>
      <c r="B145" s="6" t="inlineStr">
        <is>
          <t>QR Scanner</t>
        </is>
      </c>
      <c r="C145" s="6" t="inlineStr">
        <is>
          <t>Scanning a QR code containing a URL opens that URL</t>
        </is>
      </c>
      <c r="D145" s="6" t="inlineStr">
        <is>
          <t>Functional</t>
        </is>
      </c>
      <c r="E145" s="11" t="inlineStr">
        <is>
          <t>P3</t>
        </is>
      </c>
      <c r="F145" s="6" t="inlineStr">
        <is>
          <t>Cross-cutting</t>
        </is>
      </c>
      <c r="G145" s="6" t="inlineStr">
        <is>
          <t>Camera permission granted. A QR code containing an HTTPS URL is available on screen or paper.</t>
        </is>
      </c>
      <c r="H145" s="6" t="inlineStr">
        <is>
          <t>1. Point the camera at a QR code containing a known HTTPS URL
2. Observe what happens when it is recognised
3. Compare the opened destination against the encoded URL</t>
        </is>
      </c>
      <c r="I145" s="6" t="inlineStr">
        <is>
          <t>The code is recognised and the encoded URL is opened. The destination matches the code exactly — opening a different URL than the one encoded would be a serious defect.</t>
        </is>
      </c>
      <c r="J145" s="6" t="inlineStr">
        <is>
          <t>Specification-based (use case)</t>
        </is>
      </c>
      <c r="K145" s="6" t="inlineStr">
        <is>
          <t>R-19</t>
        </is>
      </c>
      <c r="L145" s="6" t="inlineStr">
        <is>
          <t>No</t>
        </is>
      </c>
      <c r="M145" s="8" t="inlineStr">
        <is>
          <t>Not Run</t>
        </is>
      </c>
      <c r="N145" s="9" t="n"/>
      <c r="O145" s="9" t="n"/>
      <c r="P145" s="9" t="n"/>
      <c r="Q145" s="9" t="n"/>
      <c r="R145" s="9" t="n"/>
    </row>
    <row r="146" ht="92" customHeight="1">
      <c r="A146" s="6" t="inlineStr">
        <is>
          <t>TC-XCUT-001</t>
        </is>
      </c>
      <c r="B146" s="6" t="inlineStr">
        <is>
          <t>Cross-cutting</t>
        </is>
      </c>
      <c r="C146" s="6" t="inlineStr">
        <is>
          <t>Cold start reaches an interactive first screen within an acceptable time</t>
        </is>
      </c>
      <c r="D146" s="6" t="inlineStr">
        <is>
          <t>Performance</t>
        </is>
      </c>
      <c r="E146" s="7" t="inlineStr">
        <is>
          <t>P1</t>
        </is>
      </c>
      <c r="F146" s="6" t="inlineStr">
        <is>
          <t>Cross-cutting</t>
        </is>
      </c>
      <c r="G146" s="6" t="inlineStr">
        <is>
          <t>App fully closed.</t>
        </is>
      </c>
      <c r="H146" s="6" t="inlineStr">
        <is>
          <t>1. Force-stop the app
2. Start a stopwatch and tap the app icon simultaneously
3. Stop the stopwatch when the Catalog is interactive, not merely visible
4. Repeat five times and record all five timings</t>
        </is>
      </c>
      <c r="I146" s="6" t="inlineStr">
        <is>
          <t>All five cold starts complete within about three seconds on a mid-range device. Report the median and the worst case, not just the best — the worst case is what a frustrated user experiences.</t>
        </is>
      </c>
      <c r="J146" s="6" t="inlineStr">
        <is>
          <t>Non-functional measurement</t>
        </is>
      </c>
      <c r="K146" s="6" t="inlineStr">
        <is>
          <t>R-09</t>
        </is>
      </c>
      <c r="L146" s="6" t="inlineStr">
        <is>
          <t>No</t>
        </is>
      </c>
      <c r="M146" s="8" t="inlineStr">
        <is>
          <t>Not Run</t>
        </is>
      </c>
      <c r="N146" s="9" t="n"/>
      <c r="O146" s="9" t="n"/>
      <c r="P146" s="9" t="n"/>
      <c r="Q146" s="9" t="n"/>
      <c r="R146" s="9" t="n"/>
    </row>
    <row r="147" ht="92" customHeight="1">
      <c r="A147" s="6" t="inlineStr">
        <is>
          <t>TC-XCUT-002</t>
        </is>
      </c>
      <c r="B147" s="6" t="inlineStr">
        <is>
          <t>Cross-cutting</t>
        </is>
      </c>
      <c r="C147" s="6" t="inlineStr">
        <is>
          <t>Warm start from the app switcher is near-instant</t>
        </is>
      </c>
      <c r="D147" s="6" t="inlineStr">
        <is>
          <t>Performance</t>
        </is>
      </c>
      <c r="E147" s="10" t="inlineStr">
        <is>
          <t>P2</t>
        </is>
      </c>
      <c r="F147" s="6" t="inlineStr">
        <is>
          <t>Cross-cutting</t>
        </is>
      </c>
      <c r="G147" s="6" t="inlineStr">
        <is>
          <t>App has been used and then backgrounded.</t>
        </is>
      </c>
      <c r="H147" s="6" t="inlineStr">
        <is>
          <t>1. Use the app, then background it with the home gesture
2. Wait ten seconds
3. Reopen from recents, timing until interactive
4. Repeat five times</t>
        </is>
      </c>
      <c r="I147" s="6" t="inlineStr">
        <is>
          <t>Warm starts are markedly faster than cold starts and consistently under about one second. The app returns to the screen it left rather than restarting at the Catalog.</t>
        </is>
      </c>
      <c r="J147" s="6" t="inlineStr">
        <is>
          <t>Non-functional measurement</t>
        </is>
      </c>
      <c r="K147" s="6" t="inlineStr">
        <is>
          <t>R-09</t>
        </is>
      </c>
      <c r="L147" s="6" t="inlineStr">
        <is>
          <t>No</t>
        </is>
      </c>
      <c r="M147" s="8" t="inlineStr">
        <is>
          <t>Not Run</t>
        </is>
      </c>
      <c r="N147" s="9" t="n"/>
      <c r="O147" s="9" t="n"/>
      <c r="P147" s="9" t="n"/>
      <c r="Q147" s="9" t="n"/>
      <c r="R147" s="9" t="n"/>
    </row>
    <row r="148" ht="92" customHeight="1">
      <c r="A148" s="6" t="inlineStr">
        <is>
          <t>TC-XCUT-003</t>
        </is>
      </c>
      <c r="B148" s="6" t="inlineStr">
        <is>
          <t>Cross-cutting</t>
        </is>
      </c>
      <c r="C148" s="6" t="inlineStr">
        <is>
          <t>App survives repeated backgrounding and foregrounding</t>
        </is>
      </c>
      <c r="D148" s="6" t="inlineStr">
        <is>
          <t>Destructive</t>
        </is>
      </c>
      <c r="E148" s="7" t="inlineStr">
        <is>
          <t>P1</t>
        </is>
      </c>
      <c r="F148" s="6" t="inlineStr">
        <is>
          <t>Cross-cutting</t>
        </is>
      </c>
      <c r="G148" s="6" t="inlineStr">
        <is>
          <t>User is on a product detail page with items in the cart.</t>
        </is>
      </c>
      <c r="H148" s="6" t="inlineStr">
        <is>
          <t>1. Background and foreground the app twenty times in quick succession
2. After the final return, verify the screen renders correctly
3. Verify the cart badge and contents are unchanged</t>
        </is>
      </c>
      <c r="I148" s="6" t="inlineStr">
        <is>
          <t>No crash and no ANR. The screen renders correctly and the cart is intact. Repeated lifecycle transitions are a reliable way to surface state-management defects.</t>
        </is>
      </c>
      <c r="J148" s="6" t="inlineStr">
        <is>
          <t>Destructive (lifecycle stress)</t>
        </is>
      </c>
      <c r="K148" s="6" t="inlineStr">
        <is>
          <t>R-05</t>
        </is>
      </c>
      <c r="L148" s="6" t="inlineStr">
        <is>
          <t>No</t>
        </is>
      </c>
      <c r="M148" s="8" t="inlineStr">
        <is>
          <t>Not Run</t>
        </is>
      </c>
      <c r="N148" s="9" t="n"/>
      <c r="O148" s="9" t="n"/>
      <c r="P148" s="9" t="n"/>
      <c r="Q148" s="9" t="n"/>
      <c r="R148" s="9" t="n"/>
    </row>
    <row r="149" ht="92" customHeight="1">
      <c r="A149" s="6" t="inlineStr">
        <is>
          <t>TC-XCUT-004</t>
        </is>
      </c>
      <c r="B149" s="6" t="inlineStr">
        <is>
          <t>Cross-cutting</t>
        </is>
      </c>
      <c r="C149" s="6" t="inlineStr">
        <is>
          <t>App recovers correctly from process death with Don't Keep Activities enabled</t>
        </is>
      </c>
      <c r="D149" s="6" t="inlineStr">
        <is>
          <t>Destructive</t>
        </is>
      </c>
      <c r="E149" s="7" t="inlineStr">
        <is>
          <t>P1</t>
        </is>
      </c>
      <c r="F149" s="6" t="inlineStr">
        <is>
          <t>Cross-cutting</t>
        </is>
      </c>
      <c r="G149" s="6" t="inlineStr">
        <is>
          <t>Developer options: Don't keep activities is enabled.</t>
        </is>
      </c>
      <c r="H149" s="6" t="inlineStr">
        <is>
          <t>1. Enable Don't keep activities in Developer options
2. Navigate Catalog to product detail to cart
3. Background the app, wait ten seconds, and return
4. Press back twice and observe each screen</t>
        </is>
      </c>
      <c r="I149" s="6" t="inlineStr">
        <is>
          <t>The app returns to the cart and unwinds correctly through the product detail page to the Catalog with no crash or blank screen. This setting simulates aggressive memory reclamation on a low-end device and is the single most effective way to find state-restoration bugs.</t>
        </is>
      </c>
      <c r="J149" s="6" t="inlineStr">
        <is>
          <t>Destructive (forced activity recreation)</t>
        </is>
      </c>
      <c r="K149" s="6" t="inlineStr">
        <is>
          <t>R-05</t>
        </is>
      </c>
      <c r="L149" s="6" t="inlineStr">
        <is>
          <t>No</t>
        </is>
      </c>
      <c r="M149" s="8" t="inlineStr">
        <is>
          <t>Not Run</t>
        </is>
      </c>
      <c r="N149" s="9" t="n"/>
      <c r="O149" s="9" t="n"/>
      <c r="P149" s="9" t="n"/>
      <c r="Q149" s="9" t="n"/>
      <c r="R149" s="9" t="n"/>
    </row>
    <row r="150" ht="92" customHeight="1">
      <c r="A150" s="6" t="inlineStr">
        <is>
          <t>TC-XCUT-005</t>
        </is>
      </c>
      <c r="B150" s="6" t="inlineStr">
        <is>
          <t>Cross-cutting</t>
        </is>
      </c>
      <c r="C150" s="6" t="inlineStr">
        <is>
          <t>Rotating the device on every key screen preserves state without crashing</t>
        </is>
      </c>
      <c r="D150" s="6" t="inlineStr">
        <is>
          <t>Compatibility</t>
        </is>
      </c>
      <c r="E150" s="7" t="inlineStr">
        <is>
          <t>P1</t>
        </is>
      </c>
      <c r="F150" s="6" t="inlineStr">
        <is>
          <t>Cross-cutting</t>
        </is>
      </c>
      <c r="G150" s="6" t="inlineStr">
        <is>
          <t>Auto-rotate enabled.</t>
        </is>
      </c>
      <c r="H150" s="6" t="inlineStr">
        <is>
          <t>1. On each of Catalog, product detail, cart, checkout shipping, checkout payment and review: rotate to landscape, observe, then rotate back
2. After each rotation verify the layout, the data on screen and the scroll position</t>
        </is>
      </c>
      <c r="I150" s="6" t="inlineStr">
        <is>
          <t>No screen crashes or loses entered data. Partially filled forms retain their values through rotation. Layouts reflow without truncation or overlap. Form data lost on rotation is a high-severity defect during checkout.</t>
        </is>
      </c>
      <c r="J150" s="6" t="inlineStr">
        <is>
          <t>Compatibility (configuration change)</t>
        </is>
      </c>
      <c r="K150" s="6" t="inlineStr">
        <is>
          <t>R-12</t>
        </is>
      </c>
      <c r="L150" s="6" t="inlineStr">
        <is>
          <t>No</t>
        </is>
      </c>
      <c r="M150" s="8" t="inlineStr">
        <is>
          <t>Not Run</t>
        </is>
      </c>
      <c r="N150" s="9" t="n"/>
      <c r="O150" s="9" t="n"/>
      <c r="P150" s="9" t="n"/>
      <c r="Q150" s="9" t="n"/>
      <c r="R150" s="9" t="n"/>
    </row>
    <row r="151" ht="92" customHeight="1">
      <c r="A151" s="6" t="inlineStr">
        <is>
          <t>TC-XCUT-006</t>
        </is>
      </c>
      <c r="B151" s="6" t="inlineStr">
        <is>
          <t>Cross-cutting</t>
        </is>
      </c>
      <c r="C151" s="6" t="inlineStr">
        <is>
          <t>App behaves correctly across the supported Android version range</t>
        </is>
      </c>
      <c r="D151" s="6" t="inlineStr">
        <is>
          <t>Compatibility</t>
        </is>
      </c>
      <c r="E151" s="10" t="inlineStr">
        <is>
          <t>P2</t>
        </is>
      </c>
      <c r="F151" s="6" t="inlineStr">
        <is>
          <t>Cross-cutting</t>
        </is>
      </c>
      <c r="G151" s="6" t="inlineStr">
        <is>
          <t>Access to at least two Android versions, for example API 31 and API 34.</t>
        </is>
      </c>
      <c r="H151" s="6" t="inlineStr">
        <is>
          <t>1. Install the same APK build on each device or emulator
2. Run the full smoke pack on each
3. Note any behavioural or visual difference between them</t>
        </is>
      </c>
      <c r="I151" s="6" t="inlineStr">
        <is>
          <t>Behaviour is equivalent on all tested versions. Any difference is documented with the API level, since platform changes to permissions, back-gesture handling and notification behaviour commonly cause version-specific defects.</t>
        </is>
      </c>
      <c r="J151" s="6" t="inlineStr">
        <is>
          <t>Compatibility (platform matrix)</t>
        </is>
      </c>
      <c r="K151" s="6" t="inlineStr">
        <is>
          <t>R-12</t>
        </is>
      </c>
      <c r="L151" s="6" t="inlineStr">
        <is>
          <t>No</t>
        </is>
      </c>
      <c r="M151" s="8" t="inlineStr">
        <is>
          <t>Not Run</t>
        </is>
      </c>
      <c r="N151" s="9" t="n"/>
      <c r="O151" s="9" t="n"/>
      <c r="P151" s="9" t="n"/>
      <c r="Q151" s="9" t="n"/>
      <c r="R151" s="9" t="n"/>
    </row>
    <row r="152" ht="92" customHeight="1">
      <c r="A152" s="6" t="inlineStr">
        <is>
          <t>TC-XCUT-007</t>
        </is>
      </c>
      <c r="B152" s="6" t="inlineStr">
        <is>
          <t>Cross-cutting</t>
        </is>
      </c>
      <c r="C152" s="6" t="inlineStr">
        <is>
          <t>App renders correctly across different screen sizes and densities</t>
        </is>
      </c>
      <c r="D152" s="6" t="inlineStr">
        <is>
          <t>Compatibility</t>
        </is>
      </c>
      <c r="E152" s="10" t="inlineStr">
        <is>
          <t>P2</t>
        </is>
      </c>
      <c r="F152" s="6" t="inlineStr">
        <is>
          <t>Cross-cutting</t>
        </is>
      </c>
      <c r="G152" s="6" t="inlineStr">
        <is>
          <t>Access to a small phone, a large phone and a tablet profile.</t>
        </is>
      </c>
      <c r="H152" s="6" t="inlineStr">
        <is>
          <t>1. Run the smoke pack on each screen profile
2. Compare the catalogue grid column count and tile proportions
3. Check that no control is cut off or unreachable on the smallest screen</t>
        </is>
      </c>
      <c r="I152" s="6" t="inlineStr">
        <is>
          <t>Layouts adapt to each screen size. Nothing is cut off on the smallest profile and nothing is absurdly stretched on the largest. Every interactive control remains reachable and tappable everywhere.</t>
        </is>
      </c>
      <c r="J152" s="6" t="inlineStr">
        <is>
          <t>Compatibility (device matrix)</t>
        </is>
      </c>
      <c r="K152" s="6" t="inlineStr">
        <is>
          <t>R-12</t>
        </is>
      </c>
      <c r="L152" s="6" t="inlineStr">
        <is>
          <t>No</t>
        </is>
      </c>
      <c r="M152" s="8" t="inlineStr">
        <is>
          <t>Not Run</t>
        </is>
      </c>
      <c r="N152" s="9" t="n"/>
      <c r="O152" s="9" t="n"/>
      <c r="P152" s="9" t="n"/>
      <c r="Q152" s="9" t="n"/>
      <c r="R152" s="9" t="n"/>
    </row>
    <row r="153" ht="92" customHeight="1">
      <c r="A153" s="6" t="inlineStr">
        <is>
          <t>TC-XCUT-008</t>
        </is>
      </c>
      <c r="B153" s="6" t="inlineStr">
        <is>
          <t>Cross-cutting</t>
        </is>
      </c>
      <c r="C153" s="6" t="inlineStr">
        <is>
          <t>App handles an interruption from an incoming call or notification</t>
        </is>
      </c>
      <c r="D153" s="6" t="inlineStr">
        <is>
          <t>Destructive</t>
        </is>
      </c>
      <c r="E153" s="10" t="inlineStr">
        <is>
          <t>P2</t>
        </is>
      </c>
      <c r="F153" s="6" t="inlineStr">
        <is>
          <t>Cross-cutting</t>
        </is>
      </c>
      <c r="G153" s="6" t="inlineStr">
        <is>
          <t>Ability to trigger an incoming call or a full-screen notification.</t>
        </is>
      </c>
      <c r="H153" s="6" t="inlineStr">
        <is>
          <t>1. Begin filling in the checkout payment form
2. Trigger an incoming call or full-screen notification
3. Dismiss it and return to the app
4. Verify the form data and the cart</t>
        </is>
      </c>
      <c r="I153" s="6" t="inlineStr">
        <is>
          <t>The app returns to the payment form with entered data intact. Losing checkout data to a phone call is a very common real-world abandonment cause and a legitimate high-severity finding.</t>
        </is>
      </c>
      <c r="J153" s="6" t="inlineStr">
        <is>
          <t>Destructive (external interruption)</t>
        </is>
      </c>
      <c r="K153" s="6" t="inlineStr">
        <is>
          <t>R-05</t>
        </is>
      </c>
      <c r="L153" s="6" t="inlineStr">
        <is>
          <t>No</t>
        </is>
      </c>
      <c r="M153" s="8" t="inlineStr">
        <is>
          <t>Not Run</t>
        </is>
      </c>
      <c r="N153" s="9" t="n"/>
      <c r="O153" s="9" t="n"/>
      <c r="P153" s="9" t="n"/>
      <c r="Q153" s="9" t="n"/>
      <c r="R153" s="9" t="n"/>
    </row>
    <row r="154" ht="92" customHeight="1">
      <c r="A154" s="6" t="inlineStr">
        <is>
          <t>TC-XCUT-009</t>
        </is>
      </c>
      <c r="B154" s="6" t="inlineStr">
        <is>
          <t>Cross-cutting</t>
        </is>
      </c>
      <c r="C154" s="6" t="inlineStr">
        <is>
          <t>Every screen is traversable end to end with a screen reader</t>
        </is>
      </c>
      <c r="D154" s="6" t="inlineStr">
        <is>
          <t>Accessibility</t>
        </is>
      </c>
      <c r="E154" s="7" t="inlineStr">
        <is>
          <t>P1</t>
        </is>
      </c>
      <c r="F154" s="6" t="inlineStr">
        <is>
          <t>Cross-cutting</t>
        </is>
      </c>
      <c r="G154" s="6" t="inlineStr">
        <is>
          <t>TalkBack enabled.</t>
        </is>
      </c>
      <c r="H154" s="6" t="inlineStr">
        <is>
          <t>1. With TalkBack on, complete a full purchase journey using swipe navigation only, never touching an element directly
2. Note every point where you get stuck, where focus is lost, or where an element is announced meaninglessly</t>
        </is>
      </c>
      <c r="I154" s="6" t="inlineStr">
        <is>
          <t>The entire purchase journey is completable with TalkBack alone. No focus trap prevents leaving a screen. Every control needed to buy something is reachable and meaningfully announced. If the journey cannot be completed, that is a high-severity accessibility defect and, for an EU e-commerce service, a compliance concern.</t>
        </is>
      </c>
      <c r="J154" s="6" t="inlineStr">
        <is>
          <t>Accessibility (WCAG 2.1 AA, end-to-end)</t>
        </is>
      </c>
      <c r="K154" s="6" t="inlineStr">
        <is>
          <t>R-13</t>
        </is>
      </c>
      <c r="L154" s="6" t="inlineStr">
        <is>
          <t>No</t>
        </is>
      </c>
      <c r="M154" s="8" t="inlineStr">
        <is>
          <t>Not Run</t>
        </is>
      </c>
      <c r="N154" s="9" t="n"/>
      <c r="O154" s="9" t="n"/>
      <c r="P154" s="9" t="n"/>
      <c r="Q154" s="9" t="n"/>
      <c r="R154" s="9" t="n"/>
    </row>
    <row r="155" ht="92" customHeight="1">
      <c r="A155" s="6" t="inlineStr">
        <is>
          <t>TC-XCUT-010</t>
        </is>
      </c>
      <c r="B155" s="6" t="inlineStr">
        <is>
          <t>Cross-cutting</t>
        </is>
      </c>
      <c r="C155" s="6" t="inlineStr">
        <is>
          <t>Touch targets meet the minimum recommended size</t>
        </is>
      </c>
      <c r="D155" s="6" t="inlineStr">
        <is>
          <t>Accessibility</t>
        </is>
      </c>
      <c r="E155" s="10" t="inlineStr">
        <is>
          <t>P2</t>
        </is>
      </c>
      <c r="F155" s="6" t="inlineStr">
        <is>
          <t>Cross-cutting</t>
        </is>
      </c>
      <c r="G155" s="6" t="inlineStr">
        <is>
          <t>App installed. A way to measure on-screen elements, such as the Android layout-bounds developer option.</t>
        </is>
      </c>
      <c r="H155" s="6" t="inlineStr">
        <is>
          <t>1. Enable 'Show layout bounds' in Developer options
2. Inspect the quantity stepper controls, the remove-item control and the colour swatches
3. Estimate whether each is at least 48 by 48 density-independent pixels</t>
        </is>
      </c>
      <c r="I155" s="6" t="inlineStr">
        <is>
          <t>Every interactive control meets roughly 48 by 48 dp, which is Android's Material accessibility guidance. Small steppers and colour swatches are the usual offenders, and they disproportionately affect users with limited dexterity. Note that the equivalent WCAG criterion, 2.5.5 Target Size, is level AAA rather than AA, so this is a strong recommendation rather than an AA conformance failure.</t>
        </is>
      </c>
      <c r="J155" s="6" t="inlineStr">
        <is>
          <t>Accessibility (Android Material 48dp guidance; WCAG 2.5.5 is AAA)</t>
        </is>
      </c>
      <c r="K155" s="6" t="inlineStr">
        <is>
          <t>R-13</t>
        </is>
      </c>
      <c r="L155" s="6" t="inlineStr">
        <is>
          <t>No</t>
        </is>
      </c>
      <c r="M155" s="8" t="inlineStr">
        <is>
          <t>Not Run</t>
        </is>
      </c>
      <c r="N155" s="9" t="n"/>
      <c r="O155" s="9" t="n"/>
      <c r="P155" s="9" t="n"/>
      <c r="Q155" s="9" t="n"/>
      <c r="R155" s="9" t="n"/>
    </row>
    <row r="156" ht="92" customHeight="1">
      <c r="A156" s="6" t="inlineStr">
        <is>
          <t>TC-XCUT-011</t>
        </is>
      </c>
      <c r="B156" s="6" t="inlineStr">
        <is>
          <t>Cross-cutting</t>
        </is>
      </c>
      <c r="C156" s="6" t="inlineStr">
        <is>
          <t>Text contrast is sufficient against its background</t>
        </is>
      </c>
      <c r="D156" s="6" t="inlineStr">
        <is>
          <t>Accessibility</t>
        </is>
      </c>
      <c r="E156" s="10" t="inlineStr">
        <is>
          <t>P2</t>
        </is>
      </c>
      <c r="F156" s="6" t="inlineStr">
        <is>
          <t>Cross-cutting</t>
        </is>
      </c>
      <c r="G156" s="6" t="inlineStr">
        <is>
          <t>App installed. A contrast-checking tool or the Android Accessibility Scanner installed.</t>
        </is>
      </c>
      <c r="H156" s="6" t="inlineStr">
        <is>
          <t>1. Install Accessibility Scanner from the Play Store, or use a contrast checker on screenshots
2. Scan the Catalog, product detail, cart and review screens
3. Record every element flagged for insufficient contrast</t>
        </is>
      </c>
      <c r="I156" s="6" t="inlineStr">
        <is>
          <t>Body text achieves at least a 4.5 to 1 contrast ratio and large text at least 3 to 1. Prices and validation error messages matter most — an error the user cannot read is functionally invisible.</t>
        </is>
      </c>
      <c r="J156" s="6" t="inlineStr">
        <is>
          <t>Accessibility (WCAG 1.4.3 Contrast)</t>
        </is>
      </c>
      <c r="K156" s="6" t="inlineStr">
        <is>
          <t>R-13</t>
        </is>
      </c>
      <c r="L156" s="6" t="inlineStr">
        <is>
          <t>No</t>
        </is>
      </c>
      <c r="M156" s="8" t="inlineStr">
        <is>
          <t>Not Run</t>
        </is>
      </c>
      <c r="N156" s="9" t="n"/>
      <c r="O156" s="9" t="n"/>
      <c r="P156" s="9" t="n"/>
      <c r="Q156" s="9" t="n"/>
      <c r="R156" s="9" t="n"/>
    </row>
    <row r="157" ht="92" customHeight="1">
      <c r="A157" s="6" t="inlineStr">
        <is>
          <t>TC-XCUT-012</t>
        </is>
      </c>
      <c r="B157" s="6" t="inlineStr">
        <is>
          <t>Cross-cutting</t>
        </is>
      </c>
      <c r="C157" s="6" t="inlineStr">
        <is>
          <t>All user-facing text is in a single consistent language</t>
        </is>
      </c>
      <c r="D157" s="6" t="inlineStr">
        <is>
          <t>Localisation</t>
        </is>
      </c>
      <c r="E157" s="10" t="inlineStr">
        <is>
          <t>P2</t>
        </is>
      </c>
      <c r="F157" s="6" t="inlineStr">
        <is>
          <t>Cross-cutting</t>
        </is>
      </c>
      <c r="G157" s="6" t="inlineStr">
        <is>
          <t>App installed with the device set to English.</t>
        </is>
      </c>
      <c r="H157" s="6" t="inlineStr">
        <is>
          <t>1. Visit every screen in the app
2. Record any text that is not in the expected language, or that mixes languages within one screen
3. Note any untranslated placeholder or raw resource key visible to the user</t>
        </is>
      </c>
      <c r="I157" s="6" t="inlineStr">
        <is>
          <t>Every screen is in one consistent language. No raw resource identifiers, no placeholder strings such as 'Hello blank fragment', and no mixed-language screens. A visible placeholder string is an unambiguous defect.</t>
        </is>
      </c>
      <c r="J157" s="6" t="inlineStr">
        <is>
          <t>Localisation review</t>
        </is>
      </c>
      <c r="K157" s="6" t="inlineStr">
        <is>
          <t>R-04</t>
        </is>
      </c>
      <c r="L157" s="6" t="inlineStr">
        <is>
          <t>No</t>
        </is>
      </c>
      <c r="M157" s="8" t="inlineStr">
        <is>
          <t>Not Run</t>
        </is>
      </c>
      <c r="N157" s="9" t="n"/>
      <c r="O157" s="9" t="n"/>
      <c r="P157" s="9" t="n"/>
      <c r="Q157" s="9" t="n"/>
      <c r="R157" s="9" t="n"/>
    </row>
    <row r="158" ht="92" customHeight="1">
      <c r="A158" s="6" t="inlineStr">
        <is>
          <t>TC-XCUT-013</t>
        </is>
      </c>
      <c r="B158" s="6" t="inlineStr">
        <is>
          <t>Cross-cutting</t>
        </is>
      </c>
      <c r="C158" s="6" t="inlineStr">
        <is>
          <t>App behaves correctly when the device language is changed to German</t>
        </is>
      </c>
      <c r="D158" s="6" t="inlineStr">
        <is>
          <t>Localisation</t>
        </is>
      </c>
      <c r="E158" s="11" t="inlineStr">
        <is>
          <t>P3</t>
        </is>
      </c>
      <c r="F158" s="6" t="inlineStr">
        <is>
          <t>Cross-cutting</t>
        </is>
      </c>
      <c r="G158" s="6" t="inlineStr">
        <is>
          <t>Device language can be changed in Android settings.</t>
        </is>
      </c>
      <c r="H158" s="6" t="inlineStr">
        <is>
          <t>1. Change the device language to German
2. Relaunch the app and walk through the purchase journey
3. Note whether strings are translated, and how prices, dates and decimal separators are formatted</t>
        </is>
      </c>
      <c r="I158" s="6" t="inlineStr">
        <is>
          <t>Record the behaviour. If the app has no German translation, English strings are an acceptable fallback, but numbers and currency should still respect the locale. Falling back to English is a limitation to document; crashing or showing empty strings is a defect.</t>
        </is>
      </c>
      <c r="J158" s="6" t="inlineStr">
        <is>
          <t>Localisation (locale switch)</t>
        </is>
      </c>
      <c r="K158" s="6" t="inlineStr">
        <is>
          <t>R-24</t>
        </is>
      </c>
      <c r="L158" s="6" t="inlineStr">
        <is>
          <t>No</t>
        </is>
      </c>
      <c r="M158" s="8" t="inlineStr">
        <is>
          <t>Not Run</t>
        </is>
      </c>
      <c r="N158" s="9" t="n"/>
      <c r="O158" s="9" t="n"/>
      <c r="P158" s="9" t="n"/>
      <c r="Q158" s="9" t="n"/>
      <c r="R158" s="9" t="n"/>
    </row>
    <row r="159" ht="92" customHeight="1">
      <c r="A159" s="6" t="inlineStr">
        <is>
          <t>TC-XCUT-014</t>
        </is>
      </c>
      <c r="B159" s="6" t="inlineStr">
        <is>
          <t>Cross-cutting</t>
        </is>
      </c>
      <c r="C159" s="6" t="inlineStr">
        <is>
          <t>Currency and decimal formatting is consistent everywhere a price appears</t>
        </is>
      </c>
      <c r="D159" s="6" t="inlineStr">
        <is>
          <t>Localisation</t>
        </is>
      </c>
      <c r="E159" s="7" t="inlineStr">
        <is>
          <t>P1</t>
        </is>
      </c>
      <c r="F159" s="6" t="inlineStr">
        <is>
          <t>Cross-cutting</t>
        </is>
      </c>
      <c r="G159" s="6" t="inlineStr">
        <is>
          <t>Cart contains items. Access to Catalog, product detail, cart and review screens.</t>
        </is>
      </c>
      <c r="H159" s="6" t="inlineStr">
        <is>
          <t>1. Record the exact price string for the same product on the Catalog, the product detail page, the cart and the review screen
2. Compare the symbol, its position, the decimal separator and the number of decimal places
3. Repeat for the delivery charge and the order total</t>
        </is>
      </c>
      <c r="I159" s="6" t="inlineStr">
        <is>
          <t>Every monetary value uses an identical format on every screen. A price shown one way on the catalogue and another way in the cart undermines confidence in the total, and mixed formats are a strong signal of hardcoded strings.</t>
        </is>
      </c>
      <c r="J159" s="6" t="inlineStr">
        <is>
          <t>Static consistency oracle</t>
        </is>
      </c>
      <c r="K159" s="6" t="inlineStr">
        <is>
          <t>R-07</t>
        </is>
      </c>
      <c r="L159" s="6" t="inlineStr">
        <is>
          <t>Yes</t>
        </is>
      </c>
      <c r="M159" s="8" t="inlineStr">
        <is>
          <t>Not Run</t>
        </is>
      </c>
      <c r="N159" s="9" t="n"/>
      <c r="O159" s="9" t="n"/>
      <c r="P159" s="9" t="n"/>
      <c r="Q159" s="9" t="n"/>
      <c r="R159" s="9" t="n"/>
    </row>
    <row r="160" ht="92" customHeight="1">
      <c r="A160" s="6" t="inlineStr">
        <is>
          <t>TC-XCUT-015</t>
        </is>
      </c>
      <c r="B160" s="6" t="inlineStr">
        <is>
          <t>Cross-cutting</t>
        </is>
      </c>
      <c r="C160" s="6" t="inlineStr">
        <is>
          <t>App does not leak sensitive data into device logs</t>
        </is>
      </c>
      <c r="D160" s="6" t="inlineStr">
        <is>
          <t>Destructive</t>
        </is>
      </c>
      <c r="E160" s="10" t="inlineStr">
        <is>
          <t>P2</t>
        </is>
      </c>
      <c r="F160" s="6" t="inlineStr">
        <is>
          <t>Cross-cutting</t>
        </is>
      </c>
      <c r="G160" s="6" t="inlineStr">
        <is>
          <t>ADB connected to the device.</t>
        </is>
      </c>
      <c r="H160" s="6" t="inlineStr">
        <is>
          <t>1. Clear the log: adb logcat -c
2. Perform a full login and checkout in the app
3. Capture the log: adb logcat -d &gt; logcat-check.txt
4. Search the file for the password, the card number and the security code you used</t>
        </is>
      </c>
      <c r="I160" s="6" t="inlineStr">
        <is>
          <t>No password, card number or security code appears in the log. Credentials written to logcat are readable by other tooling on the device and are a genuine privacy defect. Redact anything sensitive before attaching the log to a report.</t>
        </is>
      </c>
      <c r="J160" s="6" t="inlineStr">
        <is>
          <t>Security-adjacent inspection</t>
        </is>
      </c>
      <c r="K160" s="6" t="inlineStr">
        <is>
          <t>R-03</t>
        </is>
      </c>
      <c r="L160" s="6" t="inlineStr">
        <is>
          <t>No</t>
        </is>
      </c>
      <c r="M160" s="8" t="inlineStr">
        <is>
          <t>Not Run</t>
        </is>
      </c>
      <c r="N160" s="9" t="n"/>
      <c r="O160" s="9" t="n"/>
      <c r="P160" s="9" t="n"/>
      <c r="Q160" s="9" t="n"/>
      <c r="R160" s="9" t="n"/>
    </row>
    <row r="161" ht="92" customHeight="1">
      <c r="A161" s="6" t="inlineStr">
        <is>
          <t>TC-XCUT-016</t>
        </is>
      </c>
      <c r="B161" s="6" t="inlineStr">
        <is>
          <t>Cross-cutting</t>
        </is>
      </c>
      <c r="C161" s="6" t="inlineStr">
        <is>
          <t>App remains stable under an extended continuous session</t>
        </is>
      </c>
      <c r="D161" s="6" t="inlineStr">
        <is>
          <t>Destructive</t>
        </is>
      </c>
      <c r="E161" s="11" t="inlineStr">
        <is>
          <t>P3</t>
        </is>
      </c>
      <c r="F161" s="6" t="inlineStr">
        <is>
          <t>Cross-cutting</t>
        </is>
      </c>
      <c r="G161" s="6" t="inlineStr">
        <is>
          <t>App installed. Around thirty minutes available.</t>
        </is>
      </c>
      <c r="H161" s="6" t="inlineStr">
        <is>
          <t>1. Use the app continuously for thirty minutes: browse, sort, open products, add and remove cart items, enter and leave checkout
2. Watch for progressive slowdown, growing memory use and rendering glitches
3. At the end, verify the cart total is still arithmetically correct</t>
        </is>
      </c>
      <c r="I161" s="6" t="inlineStr">
        <is>
          <t>Performance at the end of the session is comparable to the start. No crash, no progressive slowdown, and the cart arithmetic is still correct. Degradation over time usually indicates a leak.</t>
        </is>
      </c>
      <c r="J161" s="6" t="inlineStr">
        <is>
          <t>Destructive (soak / endurance)</t>
        </is>
      </c>
      <c r="K161" s="6" t="inlineStr">
        <is>
          <t>R-09</t>
        </is>
      </c>
      <c r="L161" s="6" t="inlineStr">
        <is>
          <t>No</t>
        </is>
      </c>
      <c r="M161" s="8" t="inlineStr">
        <is>
          <t>Not Run</t>
        </is>
      </c>
      <c r="N161" s="9" t="n"/>
      <c r="O161" s="9" t="n"/>
      <c r="P161" s="9" t="n"/>
      <c r="Q161" s="9" t="n"/>
      <c r="R161" s="9" t="n"/>
    </row>
    <row r="162" ht="92" customHeight="1">
      <c r="A162" s="6" t="inlineStr">
        <is>
          <t>TC-XCUT-017</t>
        </is>
      </c>
      <c r="B162" s="6" t="inlineStr">
        <is>
          <t>Cross-cutting</t>
        </is>
      </c>
      <c r="C162" s="6" t="inlineStr">
        <is>
          <t>Error and validation messages are specific enough to act on</t>
        </is>
      </c>
      <c r="D162" s="6" t="inlineStr">
        <is>
          <t>Usability</t>
        </is>
      </c>
      <c r="E162" s="10" t="inlineStr">
        <is>
          <t>P2</t>
        </is>
      </c>
      <c r="F162" s="6" t="inlineStr">
        <is>
          <t>Cross-cutting</t>
        </is>
      </c>
      <c r="G162" s="6" t="inlineStr">
        <is>
          <t>Access to the login screen and both checkout form screens.</t>
        </is>
      </c>
      <c r="H162" s="6" t="inlineStr">
        <is>
          <t>1. Trigger every validation error you can across login, shipping and payment
2. Record each message verbatim
3. For each, judge whether a first-time user could tell what to change</t>
        </is>
      </c>
      <c r="I162" s="6" t="inlineStr">
        <is>
          <t>Each message identifies the field and what is wrong with it. A message such as 'value looks invalid' names neither, and while not a functional failure it is a legitimate usability defect worth raising with concrete suggested wording.</t>
        </is>
      </c>
      <c r="J162" s="6" t="inlineStr">
        <is>
          <t>Usability heuristic (help users recognise and recover from errors)</t>
        </is>
      </c>
      <c r="K162" s="6" t="inlineStr">
        <is>
          <t>R-25</t>
        </is>
      </c>
      <c r="L162" s="6" t="inlineStr">
        <is>
          <t>No</t>
        </is>
      </c>
      <c r="M162" s="8" t="inlineStr">
        <is>
          <t>Not Run</t>
        </is>
      </c>
      <c r="N162" s="9" t="n"/>
      <c r="O162" s="9" t="n"/>
      <c r="P162" s="9" t="n"/>
      <c r="Q162" s="9" t="n"/>
      <c r="R162" s="9" t="n"/>
    </row>
    <row r="163" ht="92" customHeight="1">
      <c r="A163" s="6" t="inlineStr">
        <is>
          <t>TC-XCUT-018</t>
        </is>
      </c>
      <c r="B163" s="6" t="inlineStr">
        <is>
          <t>Cross-cutting</t>
        </is>
      </c>
      <c r="C163" s="6" t="inlineStr">
        <is>
          <t>Destructive actions are either confirmed or reversible</t>
        </is>
      </c>
      <c r="D163" s="6" t="inlineStr">
        <is>
          <t>Usability</t>
        </is>
      </c>
      <c r="E163" s="10" t="inlineStr">
        <is>
          <t>P2</t>
        </is>
      </c>
      <c r="F163" s="6" t="inlineStr">
        <is>
          <t>Cross-cutting</t>
        </is>
      </c>
      <c r="G163" s="6" t="inlineStr">
        <is>
          <t>Cart contains items. User is logged in.</t>
        </is>
      </c>
      <c r="H163" s="6" t="inlineStr">
        <is>
          <t>1. Remove an item from the cart and note whether any confirmation or undo is offered
2. Tap Reset App State and note whether it warns before clearing everything
3. Tap Log Out and note whether it confirms</t>
        </is>
      </c>
      <c r="I163" s="6" t="inlineStr">
        <is>
          <t>Actions that destroy user data should either ask first or offer an undo. Reset App State silently wiping a full cart with no warning is a real usability defect, and the fix is cheap.</t>
        </is>
      </c>
      <c r="J163" s="6" t="inlineStr">
        <is>
          <t>Usability heuristic (error prevention)</t>
        </is>
      </c>
      <c r="K163" s="6" t="inlineStr">
        <is>
          <t>R-25</t>
        </is>
      </c>
      <c r="L163" s="6" t="inlineStr">
        <is>
          <t>No</t>
        </is>
      </c>
      <c r="M163" s="8" t="inlineStr">
        <is>
          <t>Not Run</t>
        </is>
      </c>
      <c r="N163" s="9" t="n"/>
      <c r="O163" s="9" t="n"/>
      <c r="P163" s="9" t="n"/>
      <c r="Q163" s="9" t="n"/>
      <c r="R163" s="9" t="n"/>
    </row>
    <row r="164" ht="92" customHeight="1">
      <c r="A164" s="6" t="inlineStr">
        <is>
          <t>TC-XCUT-019</t>
        </is>
      </c>
      <c r="B164" s="6" t="inlineStr">
        <is>
          <t>Cross-cutting</t>
        </is>
      </c>
      <c r="C164" s="6" t="inlineStr">
        <is>
          <t>The user always knows what state the app is in</t>
        </is>
      </c>
      <c r="D164" s="6" t="inlineStr">
        <is>
          <t>Usability</t>
        </is>
      </c>
      <c r="E164" s="10" t="inlineStr">
        <is>
          <t>P2</t>
        </is>
      </c>
      <c r="F164" s="6" t="inlineStr">
        <is>
          <t>Cross-cutting</t>
        </is>
      </c>
      <c r="G164" s="6" t="inlineStr">
        <is>
          <t>App installed.</t>
        </is>
      </c>
      <c r="H164" s="6" t="inlineStr">
        <is>
          <t>1. On every screen, note whether it is clear where you are and how to go back
2. During every action that takes more than a moment, note whether progress is indicated
3. Note whether the current sort and login state are visible without opening a menu</t>
        </is>
      </c>
      <c r="I164" s="6" t="inlineStr">
        <is>
          <t>Every screen identifies itself. Slow actions show progress rather than appearing frozen. Current selections such as sort order and login state are discoverable without trial and error.</t>
        </is>
      </c>
      <c r="J164" s="6" t="inlineStr">
        <is>
          <t>Usability heuristic (visibility of system status)</t>
        </is>
      </c>
      <c r="K164" s="6" t="inlineStr">
        <is>
          <t>R-25</t>
        </is>
      </c>
      <c r="L164" s="6" t="inlineStr">
        <is>
          <t>No</t>
        </is>
      </c>
      <c r="M164" s="8" t="inlineStr">
        <is>
          <t>Not Run</t>
        </is>
      </c>
      <c r="N164" s="9" t="n"/>
      <c r="O164" s="9" t="n"/>
      <c r="P164" s="9" t="n"/>
      <c r="Q164" s="9" t="n"/>
      <c r="R164" s="9" t="n"/>
    </row>
    <row r="165" ht="92" customHeight="1">
      <c r="A165" s="6" t="inlineStr">
        <is>
          <t>TC-XCUT-020</t>
        </is>
      </c>
      <c r="B165" s="6" t="inlineStr">
        <is>
          <t>Cross-cutting</t>
        </is>
      </c>
      <c r="C165" s="6" t="inlineStr">
        <is>
          <t>Uninstalling and reinstalling the app produces a genuinely clean state</t>
        </is>
      </c>
      <c r="D165" s="6" t="inlineStr">
        <is>
          <t>Functional</t>
        </is>
      </c>
      <c r="E165" s="11" t="inlineStr">
        <is>
          <t>P3</t>
        </is>
      </c>
      <c r="F165" s="6" t="inlineStr">
        <is>
          <t>Cross-cutting</t>
        </is>
      </c>
      <c r="G165" s="6" t="inlineStr">
        <is>
          <t>App installed with a populated cart and an active session.</t>
        </is>
      </c>
      <c r="H165" s="6" t="inlineStr">
        <is>
          <t>1. Note the cart contents and login state
2. Uninstall: adb uninstall com.saucelabs.mydemoapp.android
3. Reinstall the APK: adb install &lt;path-to-apk&gt;
4. Launch the app and inspect the cart and login state</t>
        </is>
      </c>
      <c r="I165" s="6" t="inlineStr">
        <is>
          <t>The app starts completely fresh: empty cart, logged out, default sort. Data surviving an uninstall would indicate storage outside the app sandbox, which is both a defect and a privacy concern.</t>
        </is>
      </c>
      <c r="J165" s="6" t="inlineStr">
        <is>
          <t>State transition testing (clean install)</t>
        </is>
      </c>
      <c r="K165" s="6" t="inlineStr">
        <is>
          <t>R-05</t>
        </is>
      </c>
      <c r="L165" s="6" t="inlineStr">
        <is>
          <t>No</t>
        </is>
      </c>
      <c r="M165" s="8" t="inlineStr">
        <is>
          <t>Not Run</t>
        </is>
      </c>
      <c r="N165" s="9" t="n"/>
      <c r="O165" s="9" t="n"/>
      <c r="P165" s="9" t="n"/>
      <c r="Q165" s="9" t="n"/>
      <c r="R165" s="9" t="n"/>
    </row>
  </sheetData>
  <autoFilter ref="A1:R165"/>
  <dataValidations count="1">
    <dataValidation sqref="M2:M165" showDropDown="0" showInputMessage="0" showErrorMessage="0" allowBlank="1" type="list">
      <formula1>"Pass,Fail,Blocked,Not Run,N/A"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3"/>
  <sheetViews>
    <sheetView showGridLines="0" workbookViewId="0">
      <selection activeCell="A1" sqref="A1"/>
    </sheetView>
  </sheetViews>
  <sheetFormatPr baseColWidth="8" defaultRowHeight="15"/>
  <cols>
    <col width="3" customWidth="1" min="1" max="1"/>
    <col width="30" customWidth="1" min="2" max="2"/>
    <col width="11" customWidth="1" min="3" max="3"/>
    <col width="11" customWidth="1" min="4" max="4"/>
    <col width="11" customWidth="1" min="5" max="5"/>
    <col width="11" customWidth="1" min="6" max="6"/>
    <col width="11" customWidth="1" min="7" max="7"/>
    <col width="12" customWidth="1" min="8" max="8"/>
    <col width="46" customWidth="1" min="9" max="9"/>
  </cols>
  <sheetData>
    <row r="2">
      <c r="B2" s="1" t="inlineStr">
        <is>
          <t>Execution Dashboard</t>
        </is>
      </c>
    </row>
    <row r="3">
      <c r="B3" s="12" t="inlineStr">
        <is>
          <t>Every figure is calculated from the Status column on the Test Cases tab. Do not type into the shaded cells.</t>
        </is>
      </c>
    </row>
    <row r="5">
      <c r="B5" s="4" t="inlineStr">
        <is>
          <t>BY PRIORITY</t>
        </is>
      </c>
    </row>
    <row r="6">
      <c r="B6" s="5" t="inlineStr">
        <is>
          <t>Priority</t>
        </is>
      </c>
      <c r="C6" s="5" t="inlineStr">
        <is>
          <t>Planned</t>
        </is>
      </c>
      <c r="D6" s="5" t="inlineStr">
        <is>
          <t>Pass</t>
        </is>
      </c>
      <c r="E6" s="5" t="inlineStr">
        <is>
          <t>Fail</t>
        </is>
      </c>
      <c r="F6" s="5" t="inlineStr">
        <is>
          <t>Blocked</t>
        </is>
      </c>
      <c r="G6" s="5" t="inlineStr">
        <is>
          <t>Not Run</t>
        </is>
      </c>
      <c r="H6" s="5" t="inlineStr">
        <is>
          <t>Pass rate</t>
        </is>
      </c>
    </row>
    <row r="7">
      <c r="B7" s="13" t="inlineStr">
        <is>
          <t>P1</t>
        </is>
      </c>
      <c r="C7" s="14">
        <f>COUNTIF('Test Cases'!$E$2:$E$165,$B7)</f>
        <v/>
      </c>
      <c r="D7" s="14">
        <f>COUNTIFS('Test Cases'!$E$2:$E$165,$B7,'Test Cases'!$M$2:$M$165,"Pass")</f>
        <v/>
      </c>
      <c r="E7" s="14">
        <f>COUNTIFS('Test Cases'!$E$2:$E$165,$B7,'Test Cases'!$M$2:$M$165,"Fail")</f>
        <v/>
      </c>
      <c r="F7" s="14">
        <f>COUNTIFS('Test Cases'!$E$2:$E$165,$B7,'Test Cases'!$M$2:$M$165,"Blocked")</f>
        <v/>
      </c>
      <c r="G7" s="14">
        <f>COUNTIFS('Test Cases'!$E$2:$E$165,$B7,'Test Cases'!$M$2:$M$165,"Not Run")</f>
        <v/>
      </c>
      <c r="H7" s="15">
        <f>IFERROR(D7/(D7+E7),0)</f>
        <v/>
      </c>
    </row>
    <row r="8">
      <c r="B8" s="13" t="inlineStr">
        <is>
          <t>P2</t>
        </is>
      </c>
      <c r="C8" s="14">
        <f>COUNTIF('Test Cases'!$E$2:$E$165,$B8)</f>
        <v/>
      </c>
      <c r="D8" s="14">
        <f>COUNTIFS('Test Cases'!$E$2:$E$165,$B8,'Test Cases'!$M$2:$M$165,"Pass")</f>
        <v/>
      </c>
      <c r="E8" s="14">
        <f>COUNTIFS('Test Cases'!$E$2:$E$165,$B8,'Test Cases'!$M$2:$M$165,"Fail")</f>
        <v/>
      </c>
      <c r="F8" s="14">
        <f>COUNTIFS('Test Cases'!$E$2:$E$165,$B8,'Test Cases'!$M$2:$M$165,"Blocked")</f>
        <v/>
      </c>
      <c r="G8" s="14">
        <f>COUNTIFS('Test Cases'!$E$2:$E$165,$B8,'Test Cases'!$M$2:$M$165,"Not Run")</f>
        <v/>
      </c>
      <c r="H8" s="15">
        <f>IFERROR(D8/(D8+E8),0)</f>
        <v/>
      </c>
    </row>
    <row r="9">
      <c r="B9" s="13" t="inlineStr">
        <is>
          <t>P3</t>
        </is>
      </c>
      <c r="C9" s="14">
        <f>COUNTIF('Test Cases'!$E$2:$E$165,$B9)</f>
        <v/>
      </c>
      <c r="D9" s="14">
        <f>COUNTIFS('Test Cases'!$E$2:$E$165,$B9,'Test Cases'!$M$2:$M$165,"Pass")</f>
        <v/>
      </c>
      <c r="E9" s="14">
        <f>COUNTIFS('Test Cases'!$E$2:$E$165,$B9,'Test Cases'!$M$2:$M$165,"Fail")</f>
        <v/>
      </c>
      <c r="F9" s="14">
        <f>COUNTIFS('Test Cases'!$E$2:$E$165,$B9,'Test Cases'!$M$2:$M$165,"Blocked")</f>
        <v/>
      </c>
      <c r="G9" s="14">
        <f>COUNTIFS('Test Cases'!$E$2:$E$165,$B9,'Test Cases'!$M$2:$M$165,"Not Run")</f>
        <v/>
      </c>
      <c r="H9" s="15">
        <f>IFERROR(D9/(D9+E9),0)</f>
        <v/>
      </c>
    </row>
    <row r="10">
      <c r="B10" s="16" t="inlineStr">
        <is>
          <t>Total</t>
        </is>
      </c>
      <c r="C10" s="17">
        <f>SUM(C7:C9)</f>
        <v/>
      </c>
      <c r="D10" s="17">
        <f>SUM(D7:D9)</f>
        <v/>
      </c>
      <c r="E10" s="17">
        <f>SUM(E7:E9)</f>
        <v/>
      </c>
      <c r="F10" s="17">
        <f>SUM(F7:F9)</f>
        <v/>
      </c>
      <c r="G10" s="17">
        <f>SUM(G7:G9)</f>
        <v/>
      </c>
      <c r="H10" s="18">
        <f>IFERROR(D10/(D10+E10),0)</f>
        <v/>
      </c>
    </row>
    <row r="12">
      <c r="B12" s="4" t="inlineStr">
        <is>
          <t>BY TESTING TYPE  (one row per testing type; document 07 is charter-based and has no scripted cases)</t>
        </is>
      </c>
    </row>
    <row r="13">
      <c r="B13" s="5" t="inlineStr">
        <is>
          <t>Type</t>
        </is>
      </c>
      <c r="C13" s="5" t="inlineStr">
        <is>
          <t>Planned</t>
        </is>
      </c>
      <c r="D13" s="5" t="inlineStr">
        <is>
          <t>Pass</t>
        </is>
      </c>
      <c r="E13" s="5" t="inlineStr">
        <is>
          <t>Fail</t>
        </is>
      </c>
      <c r="F13" s="5" t="inlineStr">
        <is>
          <t>Blocked</t>
        </is>
      </c>
      <c r="G13" s="5" t="inlineStr">
        <is>
          <t>Not Run</t>
        </is>
      </c>
      <c r="H13" s="5" t="inlineStr">
        <is>
          <t>Pass rate</t>
        </is>
      </c>
    </row>
    <row r="14">
      <c r="B14" s="13" t="inlineStr">
        <is>
          <t>Smoke</t>
        </is>
      </c>
      <c r="C14" s="14">
        <f>COUNTIF('Test Cases'!$D$2:$D$165,$B14)</f>
        <v/>
      </c>
      <c r="D14" s="14">
        <f>COUNTIFS('Test Cases'!$D$2:$D$165,$B14,'Test Cases'!$M$2:$M$165,"Pass")</f>
        <v/>
      </c>
      <c r="E14" s="14">
        <f>COUNTIFS('Test Cases'!$D$2:$D$165,$B14,'Test Cases'!$M$2:$M$165,"Fail")</f>
        <v/>
      </c>
      <c r="F14" s="14">
        <f>COUNTIFS('Test Cases'!$D$2:$D$165,$B14,'Test Cases'!$M$2:$M$165,"Blocked")</f>
        <v/>
      </c>
      <c r="G14" s="14">
        <f>COUNTIFS('Test Cases'!$D$2:$D$165,$B14,'Test Cases'!$M$2:$M$165,"Not Run")</f>
        <v/>
      </c>
      <c r="H14" s="15">
        <f>IFERROR(D14/(D14+E14),0)</f>
        <v/>
      </c>
    </row>
    <row r="15">
      <c r="B15" s="13" t="inlineStr">
        <is>
          <t>Functional</t>
        </is>
      </c>
      <c r="C15" s="14">
        <f>COUNTIF('Test Cases'!$D$2:$D$165,$B15)</f>
        <v/>
      </c>
      <c r="D15" s="14">
        <f>COUNTIFS('Test Cases'!$D$2:$D$165,$B15,'Test Cases'!$M$2:$M$165,"Pass")</f>
        <v/>
      </c>
      <c r="E15" s="14">
        <f>COUNTIFS('Test Cases'!$D$2:$D$165,$B15,'Test Cases'!$M$2:$M$165,"Fail")</f>
        <v/>
      </c>
      <c r="F15" s="14">
        <f>COUNTIFS('Test Cases'!$D$2:$D$165,$B15,'Test Cases'!$M$2:$M$165,"Blocked")</f>
        <v/>
      </c>
      <c r="G15" s="14">
        <f>COUNTIFS('Test Cases'!$D$2:$D$165,$B15,'Test Cases'!$M$2:$M$165,"Not Run")</f>
        <v/>
      </c>
      <c r="H15" s="15">
        <f>IFERROR(D15/(D15+E15),0)</f>
        <v/>
      </c>
    </row>
    <row r="16">
      <c r="B16" s="13" t="inlineStr">
        <is>
          <t>Negative</t>
        </is>
      </c>
      <c r="C16" s="14">
        <f>COUNTIF('Test Cases'!$D$2:$D$165,$B16)</f>
        <v/>
      </c>
      <c r="D16" s="14">
        <f>COUNTIFS('Test Cases'!$D$2:$D$165,$B16,'Test Cases'!$M$2:$M$165,"Pass")</f>
        <v/>
      </c>
      <c r="E16" s="14">
        <f>COUNTIFS('Test Cases'!$D$2:$D$165,$B16,'Test Cases'!$M$2:$M$165,"Fail")</f>
        <v/>
      </c>
      <c r="F16" s="14">
        <f>COUNTIFS('Test Cases'!$D$2:$D$165,$B16,'Test Cases'!$M$2:$M$165,"Blocked")</f>
        <v/>
      </c>
      <c r="G16" s="14">
        <f>COUNTIFS('Test Cases'!$D$2:$D$165,$B16,'Test Cases'!$M$2:$M$165,"Not Run")</f>
        <v/>
      </c>
      <c r="H16" s="15">
        <f>IFERROR(D16/(D16+E16),0)</f>
        <v/>
      </c>
    </row>
    <row r="17">
      <c r="B17" s="13" t="inlineStr">
        <is>
          <t>Boundary</t>
        </is>
      </c>
      <c r="C17" s="14">
        <f>COUNTIF('Test Cases'!$D$2:$D$165,$B17)</f>
        <v/>
      </c>
      <c r="D17" s="14">
        <f>COUNTIFS('Test Cases'!$D$2:$D$165,$B17,'Test Cases'!$M$2:$M$165,"Pass")</f>
        <v/>
      </c>
      <c r="E17" s="14">
        <f>COUNTIFS('Test Cases'!$D$2:$D$165,$B17,'Test Cases'!$M$2:$M$165,"Fail")</f>
        <v/>
      </c>
      <c r="F17" s="14">
        <f>COUNTIFS('Test Cases'!$D$2:$D$165,$B17,'Test Cases'!$M$2:$M$165,"Blocked")</f>
        <v/>
      </c>
      <c r="G17" s="14">
        <f>COUNTIFS('Test Cases'!$D$2:$D$165,$B17,'Test Cases'!$M$2:$M$165,"Not Run")</f>
        <v/>
      </c>
      <c r="H17" s="15">
        <f>IFERROR(D17/(D17+E17),0)</f>
        <v/>
      </c>
    </row>
    <row r="18">
      <c r="B18" s="13" t="inlineStr">
        <is>
          <t>Input Validation</t>
        </is>
      </c>
      <c r="C18" s="14">
        <f>COUNTIF('Test Cases'!$D$2:$D$165,$B18)</f>
        <v/>
      </c>
      <c r="D18" s="14">
        <f>COUNTIFS('Test Cases'!$D$2:$D$165,$B18,'Test Cases'!$M$2:$M$165,"Pass")</f>
        <v/>
      </c>
      <c r="E18" s="14">
        <f>COUNTIFS('Test Cases'!$D$2:$D$165,$B18,'Test Cases'!$M$2:$M$165,"Fail")</f>
        <v/>
      </c>
      <c r="F18" s="14">
        <f>COUNTIFS('Test Cases'!$D$2:$D$165,$B18,'Test Cases'!$M$2:$M$165,"Blocked")</f>
        <v/>
      </c>
      <c r="G18" s="14">
        <f>COUNTIFS('Test Cases'!$D$2:$D$165,$B18,'Test Cases'!$M$2:$M$165,"Not Run")</f>
        <v/>
      </c>
      <c r="H18" s="15">
        <f>IFERROR(D18/(D18+E18),0)</f>
        <v/>
      </c>
    </row>
    <row r="19">
      <c r="B19" s="13" t="inlineStr">
        <is>
          <t>Destructive</t>
        </is>
      </c>
      <c r="C19" s="14">
        <f>COUNTIF('Test Cases'!$D$2:$D$165,$B19)</f>
        <v/>
      </c>
      <c r="D19" s="14">
        <f>COUNTIFS('Test Cases'!$D$2:$D$165,$B19,'Test Cases'!$M$2:$M$165,"Pass")</f>
        <v/>
      </c>
      <c r="E19" s="14">
        <f>COUNTIFS('Test Cases'!$D$2:$D$165,$B19,'Test Cases'!$M$2:$M$165,"Fail")</f>
        <v/>
      </c>
      <c r="F19" s="14">
        <f>COUNTIFS('Test Cases'!$D$2:$D$165,$B19,'Test Cases'!$M$2:$M$165,"Blocked")</f>
        <v/>
      </c>
      <c r="G19" s="14">
        <f>COUNTIFS('Test Cases'!$D$2:$D$165,$B19,'Test Cases'!$M$2:$M$165,"Not Run")</f>
        <v/>
      </c>
      <c r="H19" s="15">
        <f>IFERROR(D19/(D19+E19),0)</f>
        <v/>
      </c>
    </row>
    <row r="20">
      <c r="B20" s="13" t="inlineStr">
        <is>
          <t>End-to-End</t>
        </is>
      </c>
      <c r="C20" s="14">
        <f>COUNTIF('Test Cases'!$D$2:$D$165,$B20)</f>
        <v/>
      </c>
      <c r="D20" s="14">
        <f>COUNTIFS('Test Cases'!$D$2:$D$165,$B20,'Test Cases'!$M$2:$M$165,"Pass")</f>
        <v/>
      </c>
      <c r="E20" s="14">
        <f>COUNTIFS('Test Cases'!$D$2:$D$165,$B20,'Test Cases'!$M$2:$M$165,"Fail")</f>
        <v/>
      </c>
      <c r="F20" s="14">
        <f>COUNTIFS('Test Cases'!$D$2:$D$165,$B20,'Test Cases'!$M$2:$M$165,"Blocked")</f>
        <v/>
      </c>
      <c r="G20" s="14">
        <f>COUNTIFS('Test Cases'!$D$2:$D$165,$B20,'Test Cases'!$M$2:$M$165,"Not Run")</f>
        <v/>
      </c>
      <c r="H20" s="15">
        <f>IFERROR(D20/(D20+E20),0)</f>
        <v/>
      </c>
    </row>
    <row r="21">
      <c r="B21" s="13" t="inlineStr">
        <is>
          <t>Usability</t>
        </is>
      </c>
      <c r="C21" s="14">
        <f>COUNTIF('Test Cases'!$D$2:$D$165,$B21)</f>
        <v/>
      </c>
      <c r="D21" s="14">
        <f>COUNTIFS('Test Cases'!$D$2:$D$165,$B21,'Test Cases'!$M$2:$M$165,"Pass")</f>
        <v/>
      </c>
      <c r="E21" s="14">
        <f>COUNTIFS('Test Cases'!$D$2:$D$165,$B21,'Test Cases'!$M$2:$M$165,"Fail")</f>
        <v/>
      </c>
      <c r="F21" s="14">
        <f>COUNTIFS('Test Cases'!$D$2:$D$165,$B21,'Test Cases'!$M$2:$M$165,"Blocked")</f>
        <v/>
      </c>
      <c r="G21" s="14">
        <f>COUNTIFS('Test Cases'!$D$2:$D$165,$B21,'Test Cases'!$M$2:$M$165,"Not Run")</f>
        <v/>
      </c>
      <c r="H21" s="15">
        <f>IFERROR(D21/(D21+E21),0)</f>
        <v/>
      </c>
    </row>
    <row r="22">
      <c r="B22" s="13" t="inlineStr">
        <is>
          <t>Accessibility</t>
        </is>
      </c>
      <c r="C22" s="14">
        <f>COUNTIF('Test Cases'!$D$2:$D$165,$B22)</f>
        <v/>
      </c>
      <c r="D22" s="14">
        <f>COUNTIFS('Test Cases'!$D$2:$D$165,$B22,'Test Cases'!$M$2:$M$165,"Pass")</f>
        <v/>
      </c>
      <c r="E22" s="14">
        <f>COUNTIFS('Test Cases'!$D$2:$D$165,$B22,'Test Cases'!$M$2:$M$165,"Fail")</f>
        <v/>
      </c>
      <c r="F22" s="14">
        <f>COUNTIFS('Test Cases'!$D$2:$D$165,$B22,'Test Cases'!$M$2:$M$165,"Blocked")</f>
        <v/>
      </c>
      <c r="G22" s="14">
        <f>COUNTIFS('Test Cases'!$D$2:$D$165,$B22,'Test Cases'!$M$2:$M$165,"Not Run")</f>
        <v/>
      </c>
      <c r="H22" s="15">
        <f>IFERROR(D22/(D22+E22),0)</f>
        <v/>
      </c>
    </row>
    <row r="23">
      <c r="B23" s="13" t="inlineStr">
        <is>
          <t>Compatibility</t>
        </is>
      </c>
      <c r="C23" s="14">
        <f>COUNTIF('Test Cases'!$D$2:$D$165,$B23)</f>
        <v/>
      </c>
      <c r="D23" s="14">
        <f>COUNTIFS('Test Cases'!$D$2:$D$165,$B23,'Test Cases'!$M$2:$M$165,"Pass")</f>
        <v/>
      </c>
      <c r="E23" s="14">
        <f>COUNTIFS('Test Cases'!$D$2:$D$165,$B23,'Test Cases'!$M$2:$M$165,"Fail")</f>
        <v/>
      </c>
      <c r="F23" s="14">
        <f>COUNTIFS('Test Cases'!$D$2:$D$165,$B23,'Test Cases'!$M$2:$M$165,"Blocked")</f>
        <v/>
      </c>
      <c r="G23" s="14">
        <f>COUNTIFS('Test Cases'!$D$2:$D$165,$B23,'Test Cases'!$M$2:$M$165,"Not Run")</f>
        <v/>
      </c>
      <c r="H23" s="15">
        <f>IFERROR(D23/(D23+E23),0)</f>
        <v/>
      </c>
    </row>
    <row r="24">
      <c r="B24" s="13" t="inlineStr">
        <is>
          <t>Performance</t>
        </is>
      </c>
      <c r="C24" s="14">
        <f>COUNTIF('Test Cases'!$D$2:$D$165,$B24)</f>
        <v/>
      </c>
      <c r="D24" s="14">
        <f>COUNTIFS('Test Cases'!$D$2:$D$165,$B24,'Test Cases'!$M$2:$M$165,"Pass")</f>
        <v/>
      </c>
      <c r="E24" s="14">
        <f>COUNTIFS('Test Cases'!$D$2:$D$165,$B24,'Test Cases'!$M$2:$M$165,"Fail")</f>
        <v/>
      </c>
      <c r="F24" s="14">
        <f>COUNTIFS('Test Cases'!$D$2:$D$165,$B24,'Test Cases'!$M$2:$M$165,"Blocked")</f>
        <v/>
      </c>
      <c r="G24" s="14">
        <f>COUNTIFS('Test Cases'!$D$2:$D$165,$B24,'Test Cases'!$M$2:$M$165,"Not Run")</f>
        <v/>
      </c>
      <c r="H24" s="15">
        <f>IFERROR(D24/(D24+E24),0)</f>
        <v/>
      </c>
    </row>
    <row r="25">
      <c r="B25" s="13" t="inlineStr">
        <is>
          <t>Localisation</t>
        </is>
      </c>
      <c r="C25" s="14">
        <f>COUNTIF('Test Cases'!$D$2:$D$165,$B25)</f>
        <v/>
      </c>
      <c r="D25" s="14">
        <f>COUNTIFS('Test Cases'!$D$2:$D$165,$B25,'Test Cases'!$M$2:$M$165,"Pass")</f>
        <v/>
      </c>
      <c r="E25" s="14">
        <f>COUNTIFS('Test Cases'!$D$2:$D$165,$B25,'Test Cases'!$M$2:$M$165,"Fail")</f>
        <v/>
      </c>
      <c r="F25" s="14">
        <f>COUNTIFS('Test Cases'!$D$2:$D$165,$B25,'Test Cases'!$M$2:$M$165,"Blocked")</f>
        <v/>
      </c>
      <c r="G25" s="14">
        <f>COUNTIFS('Test Cases'!$D$2:$D$165,$B25,'Test Cases'!$M$2:$M$165,"Not Run")</f>
        <v/>
      </c>
      <c r="H25" s="15">
        <f>IFERROR(D25/(D25+E25),0)</f>
        <v/>
      </c>
    </row>
    <row r="26">
      <c r="B26" s="16" t="inlineStr">
        <is>
          <t>Total</t>
        </is>
      </c>
      <c r="C26" s="17">
        <f>SUM(C14:C25)</f>
        <v/>
      </c>
      <c r="D26" s="17">
        <f>SUM(D14:D25)</f>
        <v/>
      </c>
      <c r="E26" s="17">
        <f>SUM(E14:E25)</f>
        <v/>
      </c>
      <c r="F26" s="17">
        <f>SUM(F14:F25)</f>
        <v/>
      </c>
      <c r="G26" s="17">
        <f>SUM(G14:G25)</f>
        <v/>
      </c>
      <c r="H26" s="18">
        <f>IFERROR(D26/(D26+E26),0)</f>
        <v/>
      </c>
    </row>
    <row r="28">
      <c r="B28" s="4" t="inlineStr">
        <is>
          <t>BY JOURNEY STAGE</t>
        </is>
      </c>
    </row>
    <row r="29">
      <c r="B29" s="5" t="inlineStr">
        <is>
          <t>Journey Stage</t>
        </is>
      </c>
      <c r="C29" s="5" t="inlineStr">
        <is>
          <t>Planned</t>
        </is>
      </c>
      <c r="D29" s="5" t="inlineStr">
        <is>
          <t>Pass</t>
        </is>
      </c>
      <c r="E29" s="5" t="inlineStr">
        <is>
          <t>Fail</t>
        </is>
      </c>
      <c r="F29" s="5" t="inlineStr">
        <is>
          <t>Blocked</t>
        </is>
      </c>
      <c r="G29" s="5" t="inlineStr">
        <is>
          <t>Not Run</t>
        </is>
      </c>
      <c r="H29" s="5" t="inlineStr">
        <is>
          <t>Pass rate</t>
        </is>
      </c>
    </row>
    <row r="30">
      <c r="B30" s="13" t="inlineStr">
        <is>
          <t>Discovery</t>
        </is>
      </c>
      <c r="C30" s="14">
        <f>COUNTIF('Test Cases'!$F$2:$F$165,$B30)</f>
        <v/>
      </c>
      <c r="D30" s="14">
        <f>COUNTIFS('Test Cases'!$F$2:$F$165,$B30,'Test Cases'!$M$2:$M$165,"Pass")</f>
        <v/>
      </c>
      <c r="E30" s="14">
        <f>COUNTIFS('Test Cases'!$F$2:$F$165,$B30,'Test Cases'!$M$2:$M$165,"Fail")</f>
        <v/>
      </c>
      <c r="F30" s="14">
        <f>COUNTIFS('Test Cases'!$F$2:$F$165,$B30,'Test Cases'!$M$2:$M$165,"Blocked")</f>
        <v/>
      </c>
      <c r="G30" s="14">
        <f>COUNTIFS('Test Cases'!$F$2:$F$165,$B30,'Test Cases'!$M$2:$M$165,"Not Run")</f>
        <v/>
      </c>
      <c r="H30" s="15">
        <f>IFERROR(D30/(D30+E30),0)</f>
        <v/>
      </c>
    </row>
    <row r="31">
      <c r="B31" s="13" t="inlineStr">
        <is>
          <t>Consideration</t>
        </is>
      </c>
      <c r="C31" s="14">
        <f>COUNTIF('Test Cases'!$F$2:$F$165,$B31)</f>
        <v/>
      </c>
      <c r="D31" s="14">
        <f>COUNTIFS('Test Cases'!$F$2:$F$165,$B31,'Test Cases'!$M$2:$M$165,"Pass")</f>
        <v/>
      </c>
      <c r="E31" s="14">
        <f>COUNTIFS('Test Cases'!$F$2:$F$165,$B31,'Test Cases'!$M$2:$M$165,"Fail")</f>
        <v/>
      </c>
      <c r="F31" s="14">
        <f>COUNTIFS('Test Cases'!$F$2:$F$165,$B31,'Test Cases'!$M$2:$M$165,"Blocked")</f>
        <v/>
      </c>
      <c r="G31" s="14">
        <f>COUNTIFS('Test Cases'!$F$2:$F$165,$B31,'Test Cases'!$M$2:$M$165,"Not Run")</f>
        <v/>
      </c>
      <c r="H31" s="15">
        <f>IFERROR(D31/(D31+E31),0)</f>
        <v/>
      </c>
    </row>
    <row r="32">
      <c r="B32" s="13" t="inlineStr">
        <is>
          <t>Conversion</t>
        </is>
      </c>
      <c r="C32" s="14">
        <f>COUNTIF('Test Cases'!$F$2:$F$165,$B32)</f>
        <v/>
      </c>
      <c r="D32" s="14">
        <f>COUNTIFS('Test Cases'!$F$2:$F$165,$B32,'Test Cases'!$M$2:$M$165,"Pass")</f>
        <v/>
      </c>
      <c r="E32" s="14">
        <f>COUNTIFS('Test Cases'!$F$2:$F$165,$B32,'Test Cases'!$M$2:$M$165,"Fail")</f>
        <v/>
      </c>
      <c r="F32" s="14">
        <f>COUNTIFS('Test Cases'!$F$2:$F$165,$B32,'Test Cases'!$M$2:$M$165,"Blocked")</f>
        <v/>
      </c>
      <c r="G32" s="14">
        <f>COUNTIFS('Test Cases'!$F$2:$F$165,$B32,'Test Cases'!$M$2:$M$165,"Not Run")</f>
        <v/>
      </c>
      <c r="H32" s="15">
        <f>IFERROR(D32/(D32+E32),0)</f>
        <v/>
      </c>
    </row>
    <row r="33">
      <c r="B33" s="13" t="inlineStr">
        <is>
          <t>Account</t>
        </is>
      </c>
      <c r="C33" s="14">
        <f>COUNTIF('Test Cases'!$F$2:$F$165,$B33)</f>
        <v/>
      </c>
      <c r="D33" s="14">
        <f>COUNTIFS('Test Cases'!$F$2:$F$165,$B33,'Test Cases'!$M$2:$M$165,"Pass")</f>
        <v/>
      </c>
      <c r="E33" s="14">
        <f>COUNTIFS('Test Cases'!$F$2:$F$165,$B33,'Test Cases'!$M$2:$M$165,"Fail")</f>
        <v/>
      </c>
      <c r="F33" s="14">
        <f>COUNTIFS('Test Cases'!$F$2:$F$165,$B33,'Test Cases'!$M$2:$M$165,"Blocked")</f>
        <v/>
      </c>
      <c r="G33" s="14">
        <f>COUNTIFS('Test Cases'!$F$2:$F$165,$B33,'Test Cases'!$M$2:$M$165,"Not Run")</f>
        <v/>
      </c>
      <c r="H33" s="15">
        <f>IFERROR(D33/(D33+E33),0)</f>
        <v/>
      </c>
    </row>
    <row r="34">
      <c r="B34" s="13" t="inlineStr">
        <is>
          <t>Cross-cutting</t>
        </is>
      </c>
      <c r="C34" s="14">
        <f>COUNTIF('Test Cases'!$F$2:$F$165,$B34)</f>
        <v/>
      </c>
      <c r="D34" s="14">
        <f>COUNTIFS('Test Cases'!$F$2:$F$165,$B34,'Test Cases'!$M$2:$M$165,"Pass")</f>
        <v/>
      </c>
      <c r="E34" s="14">
        <f>COUNTIFS('Test Cases'!$F$2:$F$165,$B34,'Test Cases'!$M$2:$M$165,"Fail")</f>
        <v/>
      </c>
      <c r="F34" s="14">
        <f>COUNTIFS('Test Cases'!$F$2:$F$165,$B34,'Test Cases'!$M$2:$M$165,"Blocked")</f>
        <v/>
      </c>
      <c r="G34" s="14">
        <f>COUNTIFS('Test Cases'!$F$2:$F$165,$B34,'Test Cases'!$M$2:$M$165,"Not Run")</f>
        <v/>
      </c>
      <c r="H34" s="15">
        <f>IFERROR(D34/(D34+E34),0)</f>
        <v/>
      </c>
    </row>
    <row r="35">
      <c r="B35" s="16" t="inlineStr">
        <is>
          <t>Total</t>
        </is>
      </c>
      <c r="C35" s="17">
        <f>SUM(C30:C34)</f>
        <v/>
      </c>
      <c r="D35" s="17">
        <f>SUM(D30:D34)</f>
        <v/>
      </c>
      <c r="E35" s="17">
        <f>SUM(E30:E34)</f>
        <v/>
      </c>
      <c r="F35" s="17">
        <f>SUM(F30:F34)</f>
        <v/>
      </c>
      <c r="G35" s="17">
        <f>SUM(G30:G34)</f>
        <v/>
      </c>
      <c r="H35" s="18">
        <f>IFERROR(D35/(D35+E35),0)</f>
        <v/>
      </c>
    </row>
    <row r="37">
      <c r="B37" s="4" t="inlineStr">
        <is>
          <t>BY MODULE</t>
        </is>
      </c>
    </row>
    <row r="38">
      <c r="B38" s="5" t="inlineStr">
        <is>
          <t>Module</t>
        </is>
      </c>
      <c r="C38" s="5" t="inlineStr">
        <is>
          <t>Planned</t>
        </is>
      </c>
      <c r="D38" s="5" t="inlineStr">
        <is>
          <t>Pass</t>
        </is>
      </c>
      <c r="E38" s="5" t="inlineStr">
        <is>
          <t>Fail</t>
        </is>
      </c>
      <c r="F38" s="5" t="inlineStr">
        <is>
          <t>Blocked</t>
        </is>
      </c>
      <c r="G38" s="5" t="inlineStr">
        <is>
          <t>Not Run</t>
        </is>
      </c>
      <c r="H38" s="5" t="inlineStr">
        <is>
          <t>Pass rate</t>
        </is>
      </c>
    </row>
    <row r="39">
      <c r="B39" s="13" t="inlineStr">
        <is>
          <t>Login &amp; Authentication</t>
        </is>
      </c>
      <c r="C39" s="14">
        <f>COUNTIF('Test Cases'!$B$2:$B$165,$B39)</f>
        <v/>
      </c>
      <c r="D39" s="14">
        <f>COUNTIFS('Test Cases'!$B$2:$B$165,$B39,'Test Cases'!$M$2:$M$165,"Pass")</f>
        <v/>
      </c>
      <c r="E39" s="14">
        <f>COUNTIFS('Test Cases'!$B$2:$B$165,$B39,'Test Cases'!$M$2:$M$165,"Fail")</f>
        <v/>
      </c>
      <c r="F39" s="14">
        <f>COUNTIFS('Test Cases'!$B$2:$B$165,$B39,'Test Cases'!$M$2:$M$165,"Blocked")</f>
        <v/>
      </c>
      <c r="G39" s="14">
        <f>COUNTIFS('Test Cases'!$B$2:$B$165,$B39,'Test Cases'!$M$2:$M$165,"Not Run")</f>
        <v/>
      </c>
      <c r="H39" s="15">
        <f>IFERROR(D39/(D39+E39),0)</f>
        <v/>
      </c>
    </row>
    <row r="40">
      <c r="B40" s="13" t="inlineStr">
        <is>
          <t>Catalog</t>
        </is>
      </c>
      <c r="C40" s="14">
        <f>COUNTIF('Test Cases'!$B$2:$B$165,$B40)</f>
        <v/>
      </c>
      <c r="D40" s="14">
        <f>COUNTIFS('Test Cases'!$B$2:$B$165,$B40,'Test Cases'!$M$2:$M$165,"Pass")</f>
        <v/>
      </c>
      <c r="E40" s="14">
        <f>COUNTIFS('Test Cases'!$B$2:$B$165,$B40,'Test Cases'!$M$2:$M$165,"Fail")</f>
        <v/>
      </c>
      <c r="F40" s="14">
        <f>COUNTIFS('Test Cases'!$B$2:$B$165,$B40,'Test Cases'!$M$2:$M$165,"Blocked")</f>
        <v/>
      </c>
      <c r="G40" s="14">
        <f>COUNTIFS('Test Cases'!$B$2:$B$165,$B40,'Test Cases'!$M$2:$M$165,"Not Run")</f>
        <v/>
      </c>
      <c r="H40" s="15">
        <f>IFERROR(D40/(D40+E40),0)</f>
        <v/>
      </c>
    </row>
    <row r="41">
      <c r="B41" s="13" t="inlineStr">
        <is>
          <t>Sorting</t>
        </is>
      </c>
      <c r="C41" s="14">
        <f>COUNTIF('Test Cases'!$B$2:$B$165,$B41)</f>
        <v/>
      </c>
      <c r="D41" s="14">
        <f>COUNTIFS('Test Cases'!$B$2:$B$165,$B41,'Test Cases'!$M$2:$M$165,"Pass")</f>
        <v/>
      </c>
      <c r="E41" s="14">
        <f>COUNTIFS('Test Cases'!$B$2:$B$165,$B41,'Test Cases'!$M$2:$M$165,"Fail")</f>
        <v/>
      </c>
      <c r="F41" s="14">
        <f>COUNTIFS('Test Cases'!$B$2:$B$165,$B41,'Test Cases'!$M$2:$M$165,"Blocked")</f>
        <v/>
      </c>
      <c r="G41" s="14">
        <f>COUNTIFS('Test Cases'!$B$2:$B$165,$B41,'Test Cases'!$M$2:$M$165,"Not Run")</f>
        <v/>
      </c>
      <c r="H41" s="15">
        <f>IFERROR(D41/(D41+E41),0)</f>
        <v/>
      </c>
    </row>
    <row r="42">
      <c r="B42" s="13" t="inlineStr">
        <is>
          <t>Product Detail</t>
        </is>
      </c>
      <c r="C42" s="14">
        <f>COUNTIF('Test Cases'!$B$2:$B$165,$B42)</f>
        <v/>
      </c>
      <c r="D42" s="14">
        <f>COUNTIFS('Test Cases'!$B$2:$B$165,$B42,'Test Cases'!$M$2:$M$165,"Pass")</f>
        <v/>
      </c>
      <c r="E42" s="14">
        <f>COUNTIFS('Test Cases'!$B$2:$B$165,$B42,'Test Cases'!$M$2:$M$165,"Fail")</f>
        <v/>
      </c>
      <c r="F42" s="14">
        <f>COUNTIFS('Test Cases'!$B$2:$B$165,$B42,'Test Cases'!$M$2:$M$165,"Blocked")</f>
        <v/>
      </c>
      <c r="G42" s="14">
        <f>COUNTIFS('Test Cases'!$B$2:$B$165,$B42,'Test Cases'!$M$2:$M$165,"Not Run")</f>
        <v/>
      </c>
      <c r="H42" s="15">
        <f>IFERROR(D42/(D42+E42),0)</f>
        <v/>
      </c>
    </row>
    <row r="43">
      <c r="B43" s="13" t="inlineStr">
        <is>
          <t>Cart</t>
        </is>
      </c>
      <c r="C43" s="14">
        <f>COUNTIF('Test Cases'!$B$2:$B$165,$B43)</f>
        <v/>
      </c>
      <c r="D43" s="14">
        <f>COUNTIFS('Test Cases'!$B$2:$B$165,$B43,'Test Cases'!$M$2:$M$165,"Pass")</f>
        <v/>
      </c>
      <c r="E43" s="14">
        <f>COUNTIFS('Test Cases'!$B$2:$B$165,$B43,'Test Cases'!$M$2:$M$165,"Fail")</f>
        <v/>
      </c>
      <c r="F43" s="14">
        <f>COUNTIFS('Test Cases'!$B$2:$B$165,$B43,'Test Cases'!$M$2:$M$165,"Blocked")</f>
        <v/>
      </c>
      <c r="G43" s="14">
        <f>COUNTIFS('Test Cases'!$B$2:$B$165,$B43,'Test Cases'!$M$2:$M$165,"Not Run")</f>
        <v/>
      </c>
      <c r="H43" s="15">
        <f>IFERROR(D43/(D43+E43),0)</f>
        <v/>
      </c>
    </row>
    <row r="44">
      <c r="B44" s="13" t="inlineStr">
        <is>
          <t>Checkout — Shipping</t>
        </is>
      </c>
      <c r="C44" s="14">
        <f>COUNTIF('Test Cases'!$B$2:$B$165,$B44)</f>
        <v/>
      </c>
      <c r="D44" s="14">
        <f>COUNTIFS('Test Cases'!$B$2:$B$165,$B44,'Test Cases'!$M$2:$M$165,"Pass")</f>
        <v/>
      </c>
      <c r="E44" s="14">
        <f>COUNTIFS('Test Cases'!$B$2:$B$165,$B44,'Test Cases'!$M$2:$M$165,"Fail")</f>
        <v/>
      </c>
      <c r="F44" s="14">
        <f>COUNTIFS('Test Cases'!$B$2:$B$165,$B44,'Test Cases'!$M$2:$M$165,"Blocked")</f>
        <v/>
      </c>
      <c r="G44" s="14">
        <f>COUNTIFS('Test Cases'!$B$2:$B$165,$B44,'Test Cases'!$M$2:$M$165,"Not Run")</f>
        <v/>
      </c>
      <c r="H44" s="15">
        <f>IFERROR(D44/(D44+E44),0)</f>
        <v/>
      </c>
    </row>
    <row r="45">
      <c r="B45" s="13" t="inlineStr">
        <is>
          <t>Checkout — Payment</t>
        </is>
      </c>
      <c r="C45" s="14">
        <f>COUNTIF('Test Cases'!$B$2:$B$165,$B45)</f>
        <v/>
      </c>
      <c r="D45" s="14">
        <f>COUNTIFS('Test Cases'!$B$2:$B$165,$B45,'Test Cases'!$M$2:$M$165,"Pass")</f>
        <v/>
      </c>
      <c r="E45" s="14">
        <f>COUNTIFS('Test Cases'!$B$2:$B$165,$B45,'Test Cases'!$M$2:$M$165,"Fail")</f>
        <v/>
      </c>
      <c r="F45" s="14">
        <f>COUNTIFS('Test Cases'!$B$2:$B$165,$B45,'Test Cases'!$M$2:$M$165,"Blocked")</f>
        <v/>
      </c>
      <c r="G45" s="14">
        <f>COUNTIFS('Test Cases'!$B$2:$B$165,$B45,'Test Cases'!$M$2:$M$165,"Not Run")</f>
        <v/>
      </c>
      <c r="H45" s="15">
        <f>IFERROR(D45/(D45+E45),0)</f>
        <v/>
      </c>
    </row>
    <row r="46">
      <c r="B46" s="13" t="inlineStr">
        <is>
          <t>Checkout — Review</t>
        </is>
      </c>
      <c r="C46" s="14">
        <f>COUNTIF('Test Cases'!$B$2:$B$165,$B46)</f>
        <v/>
      </c>
      <c r="D46" s="14">
        <f>COUNTIFS('Test Cases'!$B$2:$B$165,$B46,'Test Cases'!$M$2:$M$165,"Pass")</f>
        <v/>
      </c>
      <c r="E46" s="14">
        <f>COUNTIFS('Test Cases'!$B$2:$B$165,$B46,'Test Cases'!$M$2:$M$165,"Fail")</f>
        <v/>
      </c>
      <c r="F46" s="14">
        <f>COUNTIFS('Test Cases'!$B$2:$B$165,$B46,'Test Cases'!$M$2:$M$165,"Blocked")</f>
        <v/>
      </c>
      <c r="G46" s="14">
        <f>COUNTIFS('Test Cases'!$B$2:$B$165,$B46,'Test Cases'!$M$2:$M$165,"Not Run")</f>
        <v/>
      </c>
      <c r="H46" s="15">
        <f>IFERROR(D46/(D46+E46),0)</f>
        <v/>
      </c>
    </row>
    <row r="47">
      <c r="B47" s="13" t="inlineStr">
        <is>
          <t>End-to-End</t>
        </is>
      </c>
      <c r="C47" s="14">
        <f>COUNTIF('Test Cases'!$B$2:$B$165,$B47)</f>
        <v/>
      </c>
      <c r="D47" s="14">
        <f>COUNTIFS('Test Cases'!$B$2:$B$165,$B47,'Test Cases'!$M$2:$M$165,"Pass")</f>
        <v/>
      </c>
      <c r="E47" s="14">
        <f>COUNTIFS('Test Cases'!$B$2:$B$165,$B47,'Test Cases'!$M$2:$M$165,"Fail")</f>
        <v/>
      </c>
      <c r="F47" s="14">
        <f>COUNTIFS('Test Cases'!$B$2:$B$165,$B47,'Test Cases'!$M$2:$M$165,"Blocked")</f>
        <v/>
      </c>
      <c r="G47" s="14">
        <f>COUNTIFS('Test Cases'!$B$2:$B$165,$B47,'Test Cases'!$M$2:$M$165,"Not Run")</f>
        <v/>
      </c>
      <c r="H47" s="15">
        <f>IFERROR(D47/(D47+E47),0)</f>
        <v/>
      </c>
    </row>
    <row r="48">
      <c r="B48" s="13" t="inlineStr">
        <is>
          <t>Menu &amp; Navigation</t>
        </is>
      </c>
      <c r="C48" s="14">
        <f>COUNTIF('Test Cases'!$B$2:$B$165,$B48)</f>
        <v/>
      </c>
      <c r="D48" s="14">
        <f>COUNTIFS('Test Cases'!$B$2:$B$165,$B48,'Test Cases'!$M$2:$M$165,"Pass")</f>
        <v/>
      </c>
      <c r="E48" s="14">
        <f>COUNTIFS('Test Cases'!$B$2:$B$165,$B48,'Test Cases'!$M$2:$M$165,"Fail")</f>
        <v/>
      </c>
      <c r="F48" s="14">
        <f>COUNTIFS('Test Cases'!$B$2:$B$165,$B48,'Test Cases'!$M$2:$M$165,"Blocked")</f>
        <v/>
      </c>
      <c r="G48" s="14">
        <f>COUNTIFS('Test Cases'!$B$2:$B$165,$B48,'Test Cases'!$M$2:$M$165,"Not Run")</f>
        <v/>
      </c>
      <c r="H48" s="15">
        <f>IFERROR(D48/(D48+E48),0)</f>
        <v/>
      </c>
    </row>
    <row r="49">
      <c r="B49" s="13" t="inlineStr">
        <is>
          <t>WebView</t>
        </is>
      </c>
      <c r="C49" s="14">
        <f>COUNTIF('Test Cases'!$B$2:$B$165,$B49)</f>
        <v/>
      </c>
      <c r="D49" s="14">
        <f>COUNTIFS('Test Cases'!$B$2:$B$165,$B49,'Test Cases'!$M$2:$M$165,"Pass")</f>
        <v/>
      </c>
      <c r="E49" s="14">
        <f>COUNTIFS('Test Cases'!$B$2:$B$165,$B49,'Test Cases'!$M$2:$M$165,"Fail")</f>
        <v/>
      </c>
      <c r="F49" s="14">
        <f>COUNTIFS('Test Cases'!$B$2:$B$165,$B49,'Test Cases'!$M$2:$M$165,"Blocked")</f>
        <v/>
      </c>
      <c r="G49" s="14">
        <f>COUNTIFS('Test Cases'!$B$2:$B$165,$B49,'Test Cases'!$M$2:$M$165,"Not Run")</f>
        <v/>
      </c>
      <c r="H49" s="15">
        <f>IFERROR(D49/(D49+E49),0)</f>
        <v/>
      </c>
    </row>
    <row r="50">
      <c r="B50" s="13" t="inlineStr">
        <is>
          <t>Geo Location</t>
        </is>
      </c>
      <c r="C50" s="14">
        <f>COUNTIF('Test Cases'!$B$2:$B$165,$B50)</f>
        <v/>
      </c>
      <c r="D50" s="14">
        <f>COUNTIFS('Test Cases'!$B$2:$B$165,$B50,'Test Cases'!$M$2:$M$165,"Pass")</f>
        <v/>
      </c>
      <c r="E50" s="14">
        <f>COUNTIFS('Test Cases'!$B$2:$B$165,$B50,'Test Cases'!$M$2:$M$165,"Fail")</f>
        <v/>
      </c>
      <c r="F50" s="14">
        <f>COUNTIFS('Test Cases'!$B$2:$B$165,$B50,'Test Cases'!$M$2:$M$165,"Blocked")</f>
        <v/>
      </c>
      <c r="G50" s="14">
        <f>COUNTIFS('Test Cases'!$B$2:$B$165,$B50,'Test Cases'!$M$2:$M$165,"Not Run")</f>
        <v/>
      </c>
      <c r="H50" s="15">
        <f>IFERROR(D50/(D50+E50),0)</f>
        <v/>
      </c>
    </row>
    <row r="51">
      <c r="B51" s="13" t="inlineStr">
        <is>
          <t>Drawing</t>
        </is>
      </c>
      <c r="C51" s="14">
        <f>COUNTIF('Test Cases'!$B$2:$B$165,$B51)</f>
        <v/>
      </c>
      <c r="D51" s="14">
        <f>COUNTIFS('Test Cases'!$B$2:$B$165,$B51,'Test Cases'!$M$2:$M$165,"Pass")</f>
        <v/>
      </c>
      <c r="E51" s="14">
        <f>COUNTIFS('Test Cases'!$B$2:$B$165,$B51,'Test Cases'!$M$2:$M$165,"Fail")</f>
        <v/>
      </c>
      <c r="F51" s="14">
        <f>COUNTIFS('Test Cases'!$B$2:$B$165,$B51,'Test Cases'!$M$2:$M$165,"Blocked")</f>
        <v/>
      </c>
      <c r="G51" s="14">
        <f>COUNTIFS('Test Cases'!$B$2:$B$165,$B51,'Test Cases'!$M$2:$M$165,"Not Run")</f>
        <v/>
      </c>
      <c r="H51" s="15">
        <f>IFERROR(D51/(D51+E51),0)</f>
        <v/>
      </c>
    </row>
    <row r="52">
      <c r="B52" s="13" t="inlineStr">
        <is>
          <t>QR Scanner</t>
        </is>
      </c>
      <c r="C52" s="14">
        <f>COUNTIF('Test Cases'!$B$2:$B$165,$B52)</f>
        <v/>
      </c>
      <c r="D52" s="14">
        <f>COUNTIFS('Test Cases'!$B$2:$B$165,$B52,'Test Cases'!$M$2:$M$165,"Pass")</f>
        <v/>
      </c>
      <c r="E52" s="14">
        <f>COUNTIFS('Test Cases'!$B$2:$B$165,$B52,'Test Cases'!$M$2:$M$165,"Fail")</f>
        <v/>
      </c>
      <c r="F52" s="14">
        <f>COUNTIFS('Test Cases'!$B$2:$B$165,$B52,'Test Cases'!$M$2:$M$165,"Blocked")</f>
        <v/>
      </c>
      <c r="G52" s="14">
        <f>COUNTIFS('Test Cases'!$B$2:$B$165,$B52,'Test Cases'!$M$2:$M$165,"Not Run")</f>
        <v/>
      </c>
      <c r="H52" s="15">
        <f>IFERROR(D52/(D52+E52),0)</f>
        <v/>
      </c>
    </row>
    <row r="53">
      <c r="B53" s="13" t="inlineStr">
        <is>
          <t>Cross-cutting</t>
        </is>
      </c>
      <c r="C53" s="14">
        <f>COUNTIF('Test Cases'!$B$2:$B$165,$B53)</f>
        <v/>
      </c>
      <c r="D53" s="14">
        <f>COUNTIFS('Test Cases'!$B$2:$B$165,$B53,'Test Cases'!$M$2:$M$165,"Pass")</f>
        <v/>
      </c>
      <c r="E53" s="14">
        <f>COUNTIFS('Test Cases'!$B$2:$B$165,$B53,'Test Cases'!$M$2:$M$165,"Fail")</f>
        <v/>
      </c>
      <c r="F53" s="14">
        <f>COUNTIFS('Test Cases'!$B$2:$B$165,$B53,'Test Cases'!$M$2:$M$165,"Blocked")</f>
        <v/>
      </c>
      <c r="G53" s="14">
        <f>COUNTIFS('Test Cases'!$B$2:$B$165,$B53,'Test Cases'!$M$2:$M$165,"Not Run")</f>
        <v/>
      </c>
      <c r="H53" s="15">
        <f>IFERROR(D53/(D53+E53),0)</f>
        <v/>
      </c>
    </row>
    <row r="54">
      <c r="B54" s="16" t="inlineStr">
        <is>
          <t>Total</t>
        </is>
      </c>
      <c r="C54" s="17">
        <f>SUM(C39:C53)</f>
        <v/>
      </c>
      <c r="D54" s="17">
        <f>SUM(D39:D53)</f>
        <v/>
      </c>
      <c r="E54" s="17">
        <f>SUM(E39:E53)</f>
        <v/>
      </c>
      <c r="F54" s="17">
        <f>SUM(F39:F53)</f>
        <v/>
      </c>
      <c r="G54" s="17">
        <f>SUM(G39:G53)</f>
        <v/>
      </c>
      <c r="H54" s="18">
        <f>IFERROR(D54/(D54+E54),0)</f>
        <v/>
      </c>
    </row>
    <row r="56">
      <c r="B56" s="4" t="inlineStr">
        <is>
          <t>KEY METRICS</t>
        </is>
      </c>
    </row>
    <row r="57">
      <c r="B57" s="2" t="inlineStr">
        <is>
          <t>Total planned cases</t>
        </is>
      </c>
      <c r="C57" s="19">
        <f>COUNTA('Test Cases'!$A$2:$A$165)</f>
        <v/>
      </c>
      <c r="D57" s="12" t="inlineStr">
        <is>
          <t>Must equal 164</t>
        </is>
      </c>
    </row>
    <row r="58">
      <c r="B58" s="2" t="inlineStr">
        <is>
          <t>Executed (Pass+Fail+Blocked)</t>
        </is>
      </c>
      <c r="C58" s="19">
        <f>COUNTIF('Test Cases'!$M$2:$M$165,"Pass")+COUNTIF('Test Cases'!$M$2:$M$165,"Fail")+COUNTIF('Test Cases'!$M$2:$M$165,"Blocked")</f>
        <v/>
      </c>
      <c r="D58" s="12" t="inlineStr"/>
    </row>
    <row r="59">
      <c r="B59" s="2" t="inlineStr">
        <is>
          <t>Execution rate</t>
        </is>
      </c>
      <c r="C59" s="20">
        <f>IFERROR((COUNTIF('Test Cases'!$M$2:$M$165,"Pass")+COUNTIF('Test Cases'!$M$2:$M$165,"Fail")+COUNTIF('Test Cases'!$M$2:$M$165,"Blocked"))/COUNTA('Test Cases'!$A$2:$A$165),0)</f>
        <v/>
      </c>
      <c r="D59" s="12" t="inlineStr">
        <is>
          <t>Target 100% of P1, 90%+ of P2</t>
        </is>
      </c>
    </row>
    <row r="60">
      <c r="B60" s="2" t="inlineStr">
        <is>
          <t>Overall pass rate</t>
        </is>
      </c>
      <c r="C60" s="20">
        <f>IFERROR(COUNTIF('Test Cases'!$M$2:$M$165,"Pass")/(COUNTIF('Test Cases'!$M$2:$M$165,"Pass")+COUNTIF('Test Cases'!$M$2:$M$165,"Fail")),0)</f>
        <v/>
      </c>
      <c r="D60" s="12" t="inlineStr">
        <is>
          <t>Passed / (Passed + Failed)</t>
        </is>
      </c>
    </row>
    <row r="61">
      <c r="B61" s="2" t="inlineStr">
        <is>
          <t>P1 release gate — remaining</t>
        </is>
      </c>
      <c r="C61" s="19">
        <f>COUNTIFS('Test Cases'!$E$2:$E$165,"P1",'Test Cases'!$M$2:$M$165,"Not Run")+COUNTIFS('Test Cases'!$E$2:$E$165,"P1",'Test Cases'!$M$2:$M$165,"Fail")</f>
        <v/>
      </c>
      <c r="D61" s="12" t="inlineStr">
        <is>
          <t>Must reach 0 before release sign-off</t>
        </is>
      </c>
    </row>
    <row r="62">
      <c r="B62" s="2" t="inlineStr">
        <is>
          <t>Discovery &amp; Consideration cases</t>
        </is>
      </c>
      <c r="C62" s="19">
        <f>COUNTIF('Test Cases'!$F$2:$F$165,"Discovery")+COUNTIF('Test Cases'!$F$2:$F$165,"Consideration")</f>
        <v/>
      </c>
      <c r="D62" s="12" t="inlineStr">
        <is>
          <t>The Discovery &amp; Consideration scope — see docs/19-JOURNEY-SCOPE-SPLIT.md</t>
        </is>
      </c>
    </row>
    <row r="63">
      <c r="B63" s="2" t="inlineStr">
        <is>
          <t>Automation candidates</t>
        </is>
      </c>
      <c r="C63" s="19">
        <f>COUNTIF('Test Cases'!$L$2:$L$165,"Yes")</f>
        <v/>
      </c>
      <c r="D63" s="12" t="inlineStr">
        <is>
          <t>Cases meeting all four automation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2026-08-20T19:28:34Z</dcterms:created>
  <dcterms:modified xmlns:dcterms="http://purl.org/dc/terms/" xmlns:xsi="http://www.w3.org/2001/XMLSchema-instance" xsi:type="dcterms:W3CDTF">2026-08-20T19:28:34Z</dcterms:modified>
</cp:coreProperties>
</file>