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Triage Summary" sheetId="3" state="visible" r:id="rId3"/>
  </sheets>
  <definedNames>
    <definedName name="_xlnm._FilterDatabase" localSheetId="1" hidden="1">'Defect Log'!$A$1:$U$62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0" customWidth="1" min="3" max="3"/>
  </cols>
  <sheetData>
    <row r="2">
      <c r="B2" s="1" t="inlineStr">
        <is>
          <t>Defect Log — My Demo App (Android)</t>
        </is>
      </c>
    </row>
    <row r="3">
      <c r="B3" s="2" t="inlineStr"/>
      <c r="C3" s="3" t="inlineStr"/>
    </row>
    <row r="4">
      <c r="B4" s="4" t="inlineStr">
        <is>
          <t>Purpose</t>
        </is>
      </c>
      <c r="C4" s="3" t="inlineStr">
        <is>
          <t>One row per defect. The full narrative ticket for each lives in docs/17-DEFECT-REPORTS.md.</t>
        </is>
      </c>
    </row>
    <row r="5">
      <c r="B5" s="2" t="inlineStr"/>
      <c r="C5" s="3" t="inlineStr"/>
    </row>
    <row r="6">
      <c r="B6" s="4" t="inlineStr">
        <is>
          <t>SEVERITY — technical impact, set by QA</t>
        </is>
      </c>
      <c r="C6" s="3" t="inlineStr"/>
    </row>
    <row r="7">
      <c r="B7" s="4" t="inlineStr">
        <is>
          <t>Critical</t>
        </is>
      </c>
      <c r="C7" s="3" t="inlineStr">
        <is>
          <t>App unusable, data loss, or money calculated wrongly. No workaround. Example: order total does not match the sum of its lines.</t>
        </is>
      </c>
    </row>
    <row r="8">
      <c r="B8" s="4" t="inlineStr">
        <is>
          <t>High</t>
        </is>
      </c>
      <c r="C8" s="3" t="inlineStr">
        <is>
          <t>Major function broken; workaround is painful. Example: cart is lost when the app is killed.</t>
        </is>
      </c>
    </row>
    <row r="9">
      <c r="B9" s="4" t="inlineStr">
        <is>
          <t>Medium</t>
        </is>
      </c>
      <c r="C9" s="3" t="inlineStr">
        <is>
          <t>Function impaired; reasonable workaround exists. Example: scroll position lost on back navigation.</t>
        </is>
      </c>
    </row>
    <row r="10">
      <c r="B10" s="4" t="inlineStr">
        <is>
          <t>Low</t>
        </is>
      </c>
      <c r="C10" s="3" t="inlineStr">
        <is>
          <t>Cosmetic, or copy and content errors. Example: a misspelled username on the login screen.</t>
        </is>
      </c>
    </row>
    <row r="11">
      <c r="B11" s="2" t="inlineStr"/>
      <c r="C11" s="3" t="inlineStr"/>
    </row>
    <row r="12">
      <c r="B12" s="4" t="inlineStr">
        <is>
          <t>PRIORITY — business urgency, agreed with the Product Owner</t>
        </is>
      </c>
      <c r="C12" s="3" t="inlineStr"/>
    </row>
    <row r="13">
      <c r="B13" s="4" t="inlineStr">
        <is>
          <t>P1 Blocker</t>
        </is>
      </c>
      <c r="C13" s="3" t="inlineStr">
        <is>
          <t>Fix before release.</t>
        </is>
      </c>
    </row>
    <row r="14">
      <c r="B14" s="4" t="inlineStr">
        <is>
          <t>P2 High</t>
        </is>
      </c>
      <c r="C14" s="3" t="inlineStr">
        <is>
          <t>Fix in the current sprint.</t>
        </is>
      </c>
    </row>
    <row r="15">
      <c r="B15" s="4" t="inlineStr">
        <is>
          <t>P3 Medium</t>
        </is>
      </c>
      <c r="C15" s="3" t="inlineStr">
        <is>
          <t>Fix in an upcoming sprint.</t>
        </is>
      </c>
    </row>
    <row r="16">
      <c r="B16" s="4" t="inlineStr">
        <is>
          <t>P4 Low</t>
        </is>
      </c>
      <c r="C16" s="3" t="inlineStr">
        <is>
          <t>Backlog.</t>
        </is>
      </c>
    </row>
    <row r="17">
      <c r="B17" s="2" t="inlineStr"/>
      <c r="C17" s="3" t="inlineStr"/>
    </row>
    <row r="18">
      <c r="B18" s="4" t="inlineStr">
        <is>
          <t>Severity is not Priority</t>
        </is>
      </c>
      <c r="C18" s="3" t="inlineStr">
        <is>
          <t>A misspelled brand name on the login screen is Low severity and can still be P1 priority. Be ready to give that example in an interview — it is asked constantly.</t>
        </is>
      </c>
    </row>
    <row r="19">
      <c r="B19" s="2" t="inlineStr"/>
      <c r="C19" s="3" t="inlineStr"/>
    </row>
    <row r="20">
      <c r="B20" s="4" t="inlineStr">
        <is>
          <t>FREQUENCY</t>
        </is>
      </c>
      <c r="C20" s="3" t="inlineStr">
        <is>
          <t>Always state a hit rate, never a feeling. 'Always (5/5)' or 'Intermittent (3/5)'. An engineer plans differently for each, and an unreproduced defect is usually unfixable.</t>
        </is>
      </c>
    </row>
    <row r="21">
      <c r="B21" s="2" t="inlineStr"/>
      <c r="C21" s="3" t="inlineStr"/>
    </row>
    <row r="22">
      <c r="B22" s="4" t="inlineStr">
        <is>
          <t>LIFECYCLE</t>
        </is>
      </c>
      <c r="C22" s="3" t="inlineStr">
        <is>
          <t>New -&gt; Triaged -&gt; In Progress -&gt; Ready for Test -&gt; Verified -&gt; Closed.  Side paths: Rejected, Duplicate, Cannot Reproduce, Deferred.</t>
        </is>
      </c>
    </row>
    <row r="23">
      <c r="B23" s="2" t="inlineStr"/>
      <c r="C23" s="3" t="inlineStr"/>
    </row>
    <row r="24">
      <c r="B24" s="4" t="inlineStr">
        <is>
          <t>EVERY TICKET NEEDS</t>
        </is>
      </c>
      <c r="C24" s="3" t="inlineStr">
        <is>
          <t>Device, OS version, app version, network. Numbered steps a stranger could follow. Expected, actual, and why expected is expected. Severity, priority, frequency. Evidence file. Business impact.</t>
        </is>
      </c>
    </row>
    <row r="25">
      <c r="B25" s="2" t="inlineStr"/>
      <c r="C25" s="3" t="inlineStr"/>
    </row>
    <row r="26">
      <c r="B26" s="4" t="inlineStr">
        <is>
          <t>DATA PROTECTION</t>
        </is>
      </c>
      <c r="C26" s="3" t="inlineStr">
        <is>
          <t>Redact all personal data from screenshots before committing. Read every logcat file before attaching it — they can contain device identifiers and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56" customWidth="1" min="3" max="3"/>
    <col width="11" customWidth="1" min="4" max="4"/>
    <col width="11" customWidth="1" min="5" max="5"/>
    <col width="17" customWidth="1" min="6" max="6"/>
    <col width="14" customWidth="1" min="7" max="7"/>
    <col width="16" customWidth="1" min="8" max="8"/>
    <col width="9" customWidth="1" min="9" max="9"/>
    <col width="44" customWidth="1" min="10" max="10"/>
    <col width="38" customWidth="1" min="11" max="11"/>
    <col width="38" customWidth="1" min="12" max="12"/>
    <col width="18" customWidth="1" min="13" max="13"/>
    <col width="11" customWidth="1" min="14" max="14"/>
    <col width="13" customWidth="1" min="15" max="15"/>
    <col width="28" customWidth="1" min="16" max="16"/>
    <col width="15" customWidth="1" min="17" max="17"/>
    <col width="13" customWidth="1" min="18" max="18"/>
    <col width="14" customWidth="1" min="19" max="19"/>
    <col width="12" customWidth="1" min="20" max="20"/>
    <col width="30" customWidth="1" min="21" max="21"/>
  </cols>
  <sheetData>
    <row r="1" ht="30" customHeight="1">
      <c r="A1" s="5" t="inlineStr">
        <is>
          <t>Bug ID</t>
        </is>
      </c>
      <c r="B1" s="5" t="inlineStr">
        <is>
          <t>Module</t>
        </is>
      </c>
      <c r="C1" s="5" t="inlineStr">
        <is>
          <t>Summary</t>
        </is>
      </c>
      <c r="D1" s="5" t="inlineStr">
        <is>
          <t>Severity</t>
        </is>
      </c>
      <c r="E1" s="5" t="inlineStr">
        <is>
          <t>Priority</t>
        </is>
      </c>
      <c r="F1" s="5" t="inlineStr">
        <is>
          <t>Frequency</t>
        </is>
      </c>
      <c r="G1" s="5" t="inlineStr">
        <is>
          <t>Journey Stage</t>
        </is>
      </c>
      <c r="H1" s="5" t="inlineStr">
        <is>
          <t>Linked Test Case</t>
        </is>
      </c>
      <c r="I1" s="5" t="inlineStr">
        <is>
          <t>Risk ID</t>
        </is>
      </c>
      <c r="J1" s="5" t="inlineStr">
        <is>
          <t>Steps (short)</t>
        </is>
      </c>
      <c r="K1" s="5" t="inlineStr">
        <is>
          <t>Expected</t>
        </is>
      </c>
      <c r="L1" s="5" t="inlineStr">
        <is>
          <t>Actual</t>
        </is>
      </c>
      <c r="M1" s="5" t="inlineStr">
        <is>
          <t>Device</t>
        </is>
      </c>
      <c r="N1" s="5" t="inlineStr">
        <is>
          <t>OS</t>
        </is>
      </c>
      <c r="O1" s="5" t="inlineStr">
        <is>
          <t>App Version</t>
        </is>
      </c>
      <c r="P1" s="5" t="inlineStr">
        <is>
          <t>Evidence File</t>
        </is>
      </c>
      <c r="Q1" s="5" t="inlineStr">
        <is>
          <t>Status</t>
        </is>
      </c>
      <c r="R1" s="5" t="inlineStr">
        <is>
          <t>Reported On</t>
        </is>
      </c>
      <c r="S1" s="5" t="inlineStr">
        <is>
          <t>Fixed In Build</t>
        </is>
      </c>
      <c r="T1" s="5" t="inlineStr">
        <is>
          <t>Verified On</t>
        </is>
      </c>
      <c r="U1" s="5" t="inlineStr">
        <is>
          <t>Comments</t>
        </is>
      </c>
    </row>
    <row r="2" ht="74" customHeight="1">
      <c r="A2" s="6" t="inlineStr">
        <is>
          <t>BUG-001</t>
        </is>
      </c>
      <c r="B2" s="6" t="inlineStr">
        <is>
          <t>Login &amp; Authentication</t>
        </is>
      </c>
      <c r="C2" s="6" t="inlineStr">
        <is>
          <t>[Login] A username in the credential list is misspelled, so anyone typing it by eye cannot log in</t>
        </is>
      </c>
      <c r="D2" s="6" t="inlineStr">
        <is>
          <t>Low</t>
        </is>
      </c>
      <c r="E2" s="6" t="inlineStr">
        <is>
          <t>P2 High</t>
        </is>
      </c>
      <c r="F2" s="6" t="inlineStr">
        <is>
          <t>Always (5/5)</t>
        </is>
      </c>
      <c r="G2" s="6" t="inlineStr">
        <is>
          <t>Account</t>
        </is>
      </c>
      <c r="H2" s="6" t="inlineStr">
        <is>
          <t>TC-LOGIN-019</t>
        </is>
      </c>
      <c r="I2" s="6" t="inlineStr">
        <is>
          <t>R-04</t>
        </is>
      </c>
      <c r="J2" s="6" t="inlineStr">
        <is>
          <t>1. Launch app 2. Menu &gt; Log In 3. Read each username in the list letter by letter</t>
        </is>
      </c>
      <c r="K2" s="6" t="inlineStr">
        <is>
          <t>Every demo username is spelled as intended</t>
        </is>
      </c>
      <c r="L2" s="6" t="inlineStr">
        <is>
          <t>One username is misspelled; typing it as displayed fails to authenticate</t>
        </is>
      </c>
      <c r="M2" s="6" t="inlineStr">
        <is>
          <t>(your device)</t>
        </is>
      </c>
      <c r="N2" s="6" t="inlineStr">
        <is>
          <t>Android 14</t>
        </is>
      </c>
      <c r="O2" s="6" t="inlineStr">
        <is>
          <t>(app version)</t>
        </is>
      </c>
      <c r="P2" s="6" t="inlineStr">
        <is>
          <t>evidence/BUG-001-login-usernames.png</t>
        </is>
      </c>
      <c r="Q2" s="6" t="inlineStr">
        <is>
          <t>Triaged</t>
        </is>
      </c>
      <c r="R2" s="6" t="inlineStr">
        <is>
          <t>(date)</t>
        </is>
      </c>
      <c r="S2" s="6" t="inlineStr"/>
      <c r="T2" s="6" t="inlineStr"/>
      <c r="U2" s="6" t="inlineStr">
        <is>
          <t>EXAMPLE ROW — replace with your own verified findings</t>
        </is>
      </c>
    </row>
    <row r="3" ht="46" customHeight="1">
      <c r="A3" s="7" t="inlineStr">
        <is>
          <t>BUG-002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46" customHeight="1">
      <c r="A4" s="7" t="inlineStr">
        <is>
          <t>BUG-003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 ht="46" customHeight="1">
      <c r="A5" s="7" t="inlineStr">
        <is>
          <t>BUG-004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46" customHeight="1">
      <c r="A6" s="7" t="inlineStr">
        <is>
          <t>BUG-005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 ht="46" customHeight="1">
      <c r="A7" s="7" t="inlineStr">
        <is>
          <t>BUG-006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46" customHeight="1">
      <c r="A8" s="7" t="inlineStr">
        <is>
          <t>BUG-007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 ht="46" customHeight="1">
      <c r="A9" s="7" t="inlineStr">
        <is>
          <t>BUG-008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46" customHeight="1">
      <c r="A10" s="7" t="inlineStr">
        <is>
          <t>BUG-009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 ht="46" customHeight="1">
      <c r="A11" s="7" t="inlineStr">
        <is>
          <t>BUG-010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46" customHeight="1">
      <c r="A12" s="7" t="inlineStr">
        <is>
          <t>BUG-011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 ht="46" customHeight="1">
      <c r="A13" s="7" t="inlineStr">
        <is>
          <t>BUG-012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46" customHeight="1">
      <c r="A14" s="7" t="inlineStr">
        <is>
          <t>BUG-013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 ht="46" customHeight="1">
      <c r="A15" s="7" t="inlineStr">
        <is>
          <t>BUG-014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46" customHeight="1">
      <c r="A16" s="7" t="inlineStr">
        <is>
          <t>BUG-015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 ht="46" customHeight="1">
      <c r="A17" s="7" t="inlineStr">
        <is>
          <t>BUG-016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46" customHeight="1">
      <c r="A18" s="7" t="inlineStr">
        <is>
          <t>BUG-017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 ht="46" customHeight="1">
      <c r="A19" s="7" t="inlineStr">
        <is>
          <t>BUG-018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46" customHeight="1">
      <c r="A20" s="7" t="inlineStr">
        <is>
          <t>BUG-019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 ht="46" customHeight="1">
      <c r="A21" s="7" t="inlineStr">
        <is>
          <t>BUG-020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46" customHeight="1">
      <c r="A22" s="7" t="inlineStr">
        <is>
          <t>BUG-021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 ht="46" customHeight="1">
      <c r="A23" s="7" t="inlineStr">
        <is>
          <t>BUG-022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46" customHeight="1">
      <c r="A24" s="7" t="inlineStr">
        <is>
          <t>BUG-023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 ht="46" customHeight="1">
      <c r="A25" s="7" t="inlineStr">
        <is>
          <t>BUG-024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46" customHeight="1">
      <c r="A26" s="7" t="inlineStr">
        <is>
          <t>BUG-025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 ht="46" customHeight="1">
      <c r="A27" s="7" t="inlineStr">
        <is>
          <t>BUG-026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46" customHeight="1">
      <c r="A28" s="7" t="inlineStr">
        <is>
          <t>BUG-027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 ht="46" customHeight="1">
      <c r="A29" s="7" t="inlineStr">
        <is>
          <t>BUG-028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46" customHeight="1">
      <c r="A30" s="7" t="inlineStr">
        <is>
          <t>BUG-029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 ht="46" customHeight="1">
      <c r="A31" s="7" t="inlineStr">
        <is>
          <t>BUG-030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46" customHeight="1">
      <c r="A32" s="7" t="inlineStr">
        <is>
          <t>BUG-031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 ht="46" customHeight="1">
      <c r="A33" s="7" t="inlineStr">
        <is>
          <t>BUG-032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46" customHeight="1">
      <c r="A34" s="7" t="inlineStr">
        <is>
          <t>BUG-033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 ht="46" customHeight="1">
      <c r="A35" s="7" t="inlineStr">
        <is>
          <t>BUG-034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46" customHeight="1">
      <c r="A36" s="7" t="inlineStr">
        <is>
          <t>BUG-035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 ht="46" customHeight="1">
      <c r="A37" s="7" t="inlineStr">
        <is>
          <t>BUG-036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46" customHeight="1">
      <c r="A38" s="7" t="inlineStr">
        <is>
          <t>BUG-037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 ht="46" customHeight="1">
      <c r="A39" s="7" t="inlineStr">
        <is>
          <t>BUG-038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46" customHeight="1">
      <c r="A40" s="7" t="inlineStr">
        <is>
          <t>BUG-039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 ht="46" customHeight="1">
      <c r="A41" s="7" t="inlineStr">
        <is>
          <t>BUG-040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46" customHeight="1">
      <c r="A42" s="7" t="inlineStr">
        <is>
          <t>BUG-041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 ht="46" customHeight="1">
      <c r="A43" s="7" t="inlineStr">
        <is>
          <t>BUG-042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46" customHeight="1">
      <c r="A44" s="7" t="inlineStr">
        <is>
          <t>BUG-043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 ht="46" customHeight="1">
      <c r="A45" s="7" t="inlineStr">
        <is>
          <t>BUG-044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46" customHeight="1">
      <c r="A46" s="7" t="inlineStr">
        <is>
          <t>BUG-045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 ht="46" customHeight="1">
      <c r="A47" s="7" t="inlineStr">
        <is>
          <t>BUG-046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46" customHeight="1">
      <c r="A48" s="7" t="inlineStr">
        <is>
          <t>BUG-047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 ht="46" customHeight="1">
      <c r="A49" s="7" t="inlineStr">
        <is>
          <t>BUG-048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46" customHeight="1">
      <c r="A50" s="7" t="inlineStr">
        <is>
          <t>BUG-049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 ht="46" customHeight="1">
      <c r="A51" s="7" t="inlineStr">
        <is>
          <t>BUG-050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46" customHeight="1">
      <c r="A52" s="7" t="inlineStr">
        <is>
          <t>BUG-051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 ht="46" customHeight="1">
      <c r="A53" s="7" t="inlineStr">
        <is>
          <t>BUG-052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46" customHeight="1">
      <c r="A54" s="7" t="inlineStr">
        <is>
          <t>BUG-053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 ht="46" customHeight="1">
      <c r="A55" s="7" t="inlineStr">
        <is>
          <t>BUG-054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46" customHeight="1">
      <c r="A56" s="7" t="inlineStr">
        <is>
          <t>BUG-055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 ht="46" customHeight="1">
      <c r="A57" s="7" t="inlineStr">
        <is>
          <t>BUG-056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46" customHeight="1">
      <c r="A58" s="7" t="inlineStr">
        <is>
          <t>BUG-057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 ht="46" customHeight="1">
      <c r="A59" s="7" t="inlineStr">
        <is>
          <t>BUG-058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46" customHeight="1">
      <c r="A60" s="7" t="inlineStr">
        <is>
          <t>BUG-059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 ht="46" customHeight="1">
      <c r="A61" s="7" t="inlineStr">
        <is>
          <t>BUG-060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46" customHeight="1">
      <c r="A62" s="7" t="inlineStr">
        <is>
          <t>BUG-061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</sheetData>
  <autoFilter ref="A1:U62"/>
  <dataValidations count="4">
    <dataValidation sqref="D2:D62" showDropDown="0" showInputMessage="0" showErrorMessage="0" allowBlank="1" type="list">
      <formula1>"Critical,High,Medium,Low"</formula1>
    </dataValidation>
    <dataValidation sqref="E2:E62" showDropDown="0" showInputMessage="0" showErrorMessage="0" allowBlank="1" type="list">
      <formula1>"P1 Blocker,P2 High,P3 Medium,P4 Low"</formula1>
    </dataValidation>
    <dataValidation sqref="G2:G62" showDropDown="0" showInputMessage="0" showErrorMessage="0" allowBlank="1" type="list">
      <formula1>"Discovery,Consideration,Conversion,Account,Cross-cutting"</formula1>
    </dataValidation>
    <dataValidation sqref="Q2:Q62" showDropDown="0" showInputMessage="0" showErrorMessage="0" allowBlank="1" type="list">
      <formula1>"New,Triaged,In Progress,Ready for Test,Verified,Closed,Rejected,Duplicate,Cannot Reproduce,Deferred"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1" customWidth="1" min="3" max="3"/>
    <col width="12" customWidth="1" min="4" max="4"/>
    <col width="11" customWidth="1" min="5" max="5"/>
    <col width="12" customWidth="1" min="6" max="6"/>
    <col width="10" customWidth="1" min="7" max="7"/>
    <col width="11" customWidth="1" min="8" max="8"/>
  </cols>
  <sheetData>
    <row r="2">
      <c r="B2" s="1" t="inlineStr">
        <is>
          <t>Triage Summary</t>
        </is>
      </c>
    </row>
    <row r="3">
      <c r="B3" s="8" t="inlineStr">
        <is>
          <t>Calculated from the Defect Log tab, rows 2 to 62.</t>
        </is>
      </c>
    </row>
    <row r="5">
      <c r="B5" s="5" t="inlineStr">
        <is>
          <t>Severity</t>
        </is>
      </c>
      <c r="C5" s="5" t="inlineStr">
        <is>
          <t>Total</t>
        </is>
      </c>
      <c r="D5" s="5" t="inlineStr">
        <is>
          <t>P1 Blocker</t>
        </is>
      </c>
      <c r="E5" s="5" t="inlineStr">
        <is>
          <t>P2 High</t>
        </is>
      </c>
      <c r="F5" s="5" t="inlineStr">
        <is>
          <t>P3 Medium</t>
        </is>
      </c>
      <c r="G5" s="5" t="inlineStr">
        <is>
          <t>P4 Low</t>
        </is>
      </c>
      <c r="H5" s="5" t="inlineStr">
        <is>
          <t>Open</t>
        </is>
      </c>
    </row>
    <row r="6">
      <c r="B6" s="9" t="inlineStr">
        <is>
          <t>Critical</t>
        </is>
      </c>
      <c r="C6" s="9">
        <f>COUNTIF('Defect Log'!$D$2:$D$62,$B6)</f>
        <v/>
      </c>
      <c r="D6" s="9">
        <f>COUNTIFS('Defect Log'!$D$2:$D$62,$B6,'Defect Log'!$E$2:$E$62,"P1 Blocker")</f>
        <v/>
      </c>
      <c r="E6" s="9">
        <f>COUNTIFS('Defect Log'!$D$2:$D$62,$B6,'Defect Log'!$E$2:$E$62,"P2 High")</f>
        <v/>
      </c>
      <c r="F6" s="9">
        <f>COUNTIFS('Defect Log'!$D$2:$D$62,$B6,'Defect Log'!$E$2:$E$62,"P3 Medium")</f>
        <v/>
      </c>
      <c r="G6" s="9">
        <f>COUNTIFS('Defect Log'!$D$2:$D$62,$B6,'Defect Log'!$E$2:$E$62,"P4 Low")</f>
        <v/>
      </c>
      <c r="H6" s="9">
        <f>COUNTIFS('Defect Log'!$D$2:$D$62,$B6,'Defect Log'!$Q$2:$Q$62,"New")+COUNTIFS('Defect Log'!$D$2:$D$62,$B6,'Defect Log'!$Q$2:$Q$62,"Triaged")+COUNTIFS('Defect Log'!$D$2:$D$62,$B6,'Defect Log'!$Q$2:$Q$62,"In Progress")+COUNTIFS('Defect Log'!$D$2:$D$62,$B6,'Defect Log'!$Q$2:$Q$62,"Ready for Test")</f>
        <v/>
      </c>
    </row>
    <row r="7">
      <c r="B7" s="9" t="inlineStr">
        <is>
          <t>High</t>
        </is>
      </c>
      <c r="C7" s="9">
        <f>COUNTIF('Defect Log'!$D$2:$D$62,$B7)</f>
        <v/>
      </c>
      <c r="D7" s="9">
        <f>COUNTIFS('Defect Log'!$D$2:$D$62,$B7,'Defect Log'!$E$2:$E$62,"P1 Blocker")</f>
        <v/>
      </c>
      <c r="E7" s="9">
        <f>COUNTIFS('Defect Log'!$D$2:$D$62,$B7,'Defect Log'!$E$2:$E$62,"P2 High")</f>
        <v/>
      </c>
      <c r="F7" s="9">
        <f>COUNTIFS('Defect Log'!$D$2:$D$62,$B7,'Defect Log'!$E$2:$E$62,"P3 Medium")</f>
        <v/>
      </c>
      <c r="G7" s="9">
        <f>COUNTIFS('Defect Log'!$D$2:$D$62,$B7,'Defect Log'!$E$2:$E$62,"P4 Low")</f>
        <v/>
      </c>
      <c r="H7" s="9">
        <f>COUNTIFS('Defect Log'!$D$2:$D$62,$B7,'Defect Log'!$Q$2:$Q$62,"New")+COUNTIFS('Defect Log'!$D$2:$D$62,$B7,'Defect Log'!$Q$2:$Q$62,"Triaged")+COUNTIFS('Defect Log'!$D$2:$D$62,$B7,'Defect Log'!$Q$2:$Q$62,"In Progress")+COUNTIFS('Defect Log'!$D$2:$D$62,$B7,'Defect Log'!$Q$2:$Q$62,"Ready for Test")</f>
        <v/>
      </c>
    </row>
    <row r="8">
      <c r="B8" s="9" t="inlineStr">
        <is>
          <t>Medium</t>
        </is>
      </c>
      <c r="C8" s="9">
        <f>COUNTIF('Defect Log'!$D$2:$D$62,$B8)</f>
        <v/>
      </c>
      <c r="D8" s="9">
        <f>COUNTIFS('Defect Log'!$D$2:$D$62,$B8,'Defect Log'!$E$2:$E$62,"P1 Blocker")</f>
        <v/>
      </c>
      <c r="E8" s="9">
        <f>COUNTIFS('Defect Log'!$D$2:$D$62,$B8,'Defect Log'!$E$2:$E$62,"P2 High")</f>
        <v/>
      </c>
      <c r="F8" s="9">
        <f>COUNTIFS('Defect Log'!$D$2:$D$62,$B8,'Defect Log'!$E$2:$E$62,"P3 Medium")</f>
        <v/>
      </c>
      <c r="G8" s="9">
        <f>COUNTIFS('Defect Log'!$D$2:$D$62,$B8,'Defect Log'!$E$2:$E$62,"P4 Low")</f>
        <v/>
      </c>
      <c r="H8" s="9">
        <f>COUNTIFS('Defect Log'!$D$2:$D$62,$B8,'Defect Log'!$Q$2:$Q$62,"New")+COUNTIFS('Defect Log'!$D$2:$D$62,$B8,'Defect Log'!$Q$2:$Q$62,"Triaged")+COUNTIFS('Defect Log'!$D$2:$D$62,$B8,'Defect Log'!$Q$2:$Q$62,"In Progress")+COUNTIFS('Defect Log'!$D$2:$D$62,$B8,'Defect Log'!$Q$2:$Q$62,"Ready for Test")</f>
        <v/>
      </c>
    </row>
    <row r="9">
      <c r="B9" s="9" t="inlineStr">
        <is>
          <t>Low</t>
        </is>
      </c>
      <c r="C9" s="9">
        <f>COUNTIF('Defect Log'!$D$2:$D$62,$B9)</f>
        <v/>
      </c>
      <c r="D9" s="9">
        <f>COUNTIFS('Defect Log'!$D$2:$D$62,$B9,'Defect Log'!$E$2:$E$62,"P1 Blocker")</f>
        <v/>
      </c>
      <c r="E9" s="9">
        <f>COUNTIFS('Defect Log'!$D$2:$D$62,$B9,'Defect Log'!$E$2:$E$62,"P2 High")</f>
        <v/>
      </c>
      <c r="F9" s="9">
        <f>COUNTIFS('Defect Log'!$D$2:$D$62,$B9,'Defect Log'!$E$2:$E$62,"P3 Medium")</f>
        <v/>
      </c>
      <c r="G9" s="9">
        <f>COUNTIFS('Defect Log'!$D$2:$D$62,$B9,'Defect Log'!$E$2:$E$62,"P4 Low")</f>
        <v/>
      </c>
      <c r="H9" s="9">
        <f>COUNTIFS('Defect Log'!$D$2:$D$62,$B9,'Defect Log'!$Q$2:$Q$62,"New")+COUNTIFS('Defect Log'!$D$2:$D$62,$B9,'Defect Log'!$Q$2:$Q$62,"Triaged")+COUNTIFS('Defect Log'!$D$2:$D$62,$B9,'Defect Log'!$Q$2:$Q$62,"In Progress")+COUNTIFS('Defect Log'!$D$2:$D$62,$B9,'Defect Log'!$Q$2:$Q$62,"Ready for Test")</f>
        <v/>
      </c>
    </row>
    <row r="10">
      <c r="B10" s="10" t="inlineStr">
        <is>
          <t>Total</t>
        </is>
      </c>
      <c r="C10" s="10">
        <f>SUM(C6:C9)</f>
        <v/>
      </c>
      <c r="D10" s="10">
        <f>SUM(D6:D9)</f>
        <v/>
      </c>
      <c r="E10" s="10">
        <f>SUM(E6:E9)</f>
        <v/>
      </c>
      <c r="F10" s="10">
        <f>SUM(F6:F9)</f>
        <v/>
      </c>
      <c r="G10" s="10">
        <f>SUM(G6:G9)</f>
        <v/>
      </c>
      <c r="H10" s="10">
        <f>SUM(H6:H9)</f>
        <v/>
      </c>
    </row>
    <row r="12">
      <c r="B12" s="4" t="inlineStr">
        <is>
          <t>RELEASE GATE</t>
        </is>
      </c>
    </row>
    <row r="13">
      <c r="B13" s="2" t="inlineStr">
        <is>
          <t>Open Critical defects</t>
        </is>
      </c>
      <c r="C13" s="11">
        <f>H6</f>
        <v/>
      </c>
      <c r="D13" s="8" t="inlineStr">
        <is>
          <t>Must be 0 to ship</t>
        </is>
      </c>
    </row>
    <row r="14">
      <c r="B14" s="2" t="inlineStr">
        <is>
          <t>Open High defects</t>
        </is>
      </c>
      <c r="C14" s="11">
        <f>H7</f>
        <v/>
      </c>
      <c r="D14" s="8" t="inlineStr">
        <is>
          <t>Must be 0 on the P1 path, or explicitly accepted by the PO</t>
        </is>
      </c>
    </row>
    <row r="15">
      <c r="B15" s="2" t="inlineStr">
        <is>
          <t>Total defects logged</t>
        </is>
      </c>
      <c r="C15" s="11">
        <f>C10</f>
        <v/>
      </c>
      <c r="D1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2026-08-20T19:28:34Z</dcterms:created>
  <dcterms:modified xmlns:dcterms="http://purl.org/dc/terms/" xmlns:xsi="http://www.w3.org/2001/XMLSchema-instance" xsi:type="dcterms:W3CDTF">2026-08-20T19:28:34Z</dcterms:modified>
</cp:coreProperties>
</file>